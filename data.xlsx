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db31ae28ed057299/Desktop/data analyst/excel projects/1.Student Marks Analysis/"/>
    </mc:Choice>
  </mc:AlternateContent>
  <xr:revisionPtr revIDLastSave="4" documentId="11_062A6CD0D56D446FED7C4877565DCE3A37CE0E94" xr6:coauthVersionLast="47" xr6:coauthVersionMax="47" xr10:uidLastSave="{FF032D75-5ACE-4313-B988-43D8E7025B8F}"/>
  <bookViews>
    <workbookView xWindow="-110" yWindow="-110" windowWidth="19420" windowHeight="10300" activeTab="2" xr2:uid="{00000000-000D-0000-FFFF-FFFF00000000}"/>
  </bookViews>
  <sheets>
    <sheet name="Student Marks Data" sheetId="1" r:id="rId1"/>
    <sheet name="Analysis" sheetId="2" r:id="rId2"/>
    <sheet name="Sheet2" sheetId="3" r:id="rId3"/>
  </sheets>
  <definedNames>
    <definedName name="_xlnm._FilterDatabase" localSheetId="0" hidden="1">'Student Marks Data'!$A$1:$H$102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2" l="1"/>
  <c r="L14" i="2"/>
  <c r="M15" i="2" s="1"/>
  <c r="M14" i="2" l="1"/>
  <c r="D26" i="2"/>
  <c r="D25" i="2"/>
  <c r="D24" i="2"/>
  <c r="D23" i="2"/>
  <c r="D22" i="2"/>
  <c r="D13" i="2"/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I3" i="1"/>
  <c r="K3" i="1" s="1"/>
  <c r="I4" i="1"/>
  <c r="I5" i="1"/>
  <c r="K5" i="1" s="1"/>
  <c r="I6" i="1"/>
  <c r="K6" i="1" s="1"/>
  <c r="I7" i="1"/>
  <c r="K7" i="1" s="1"/>
  <c r="I8" i="1"/>
  <c r="K8" i="1" s="1"/>
  <c r="I9" i="1"/>
  <c r="K9" i="1" s="1"/>
  <c r="I10" i="1"/>
  <c r="I11" i="1"/>
  <c r="K11" i="1" s="1"/>
  <c r="I12" i="1"/>
  <c r="K12" i="1" s="1"/>
  <c r="I13" i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I44" i="1"/>
  <c r="K44" i="1" s="1"/>
  <c r="I45" i="1"/>
  <c r="K45" i="1" s="1"/>
  <c r="I46" i="1"/>
  <c r="I47" i="1"/>
  <c r="K47" i="1" s="1"/>
  <c r="I48" i="1"/>
  <c r="K48" i="1" s="1"/>
  <c r="I49" i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I58" i="1"/>
  <c r="K58" i="1" s="1"/>
  <c r="I59" i="1"/>
  <c r="K59" i="1" s="1"/>
  <c r="I60" i="1"/>
  <c r="K60" i="1" s="1"/>
  <c r="I61" i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5" i="1"/>
  <c r="K75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K82" i="1" s="1"/>
  <c r="I83" i="1"/>
  <c r="K83" i="1" s="1"/>
  <c r="I84" i="1"/>
  <c r="K84" i="1" s="1"/>
  <c r="I85" i="1"/>
  <c r="K85" i="1" s="1"/>
  <c r="I86" i="1"/>
  <c r="K86" i="1" s="1"/>
  <c r="I87" i="1"/>
  <c r="K87" i="1" s="1"/>
  <c r="I88" i="1"/>
  <c r="I89" i="1"/>
  <c r="K89" i="1" s="1"/>
  <c r="I90" i="1"/>
  <c r="I91" i="1"/>
  <c r="K91" i="1" s="1"/>
  <c r="I92" i="1"/>
  <c r="K92" i="1" s="1"/>
  <c r="I93" i="1"/>
  <c r="K93" i="1" s="1"/>
  <c r="I94" i="1"/>
  <c r="H14" i="2" s="1"/>
  <c r="I95" i="1"/>
  <c r="K95" i="1" s="1"/>
  <c r="I96" i="1"/>
  <c r="K96" i="1" s="1"/>
  <c r="I97" i="1"/>
  <c r="K97" i="1" s="1"/>
  <c r="I98" i="1"/>
  <c r="K98" i="1" s="1"/>
  <c r="I99" i="1"/>
  <c r="K99" i="1" s="1"/>
  <c r="I100" i="1"/>
  <c r="K100" i="1" s="1"/>
  <c r="I101" i="1"/>
  <c r="K101" i="1" s="1"/>
  <c r="I2" i="1"/>
  <c r="K2" i="1" s="1"/>
  <c r="K88" i="1" l="1"/>
  <c r="I26" i="2" s="1"/>
  <c r="H26" i="2"/>
  <c r="K46" i="1"/>
  <c r="I25" i="2" s="1"/>
  <c r="H25" i="2"/>
  <c r="K4" i="1"/>
  <c r="I23" i="2" s="1"/>
  <c r="H23" i="2"/>
  <c r="K61" i="1"/>
  <c r="I24" i="2" s="1"/>
  <c r="H24" i="2"/>
  <c r="K10" i="1"/>
  <c r="I22" i="2" s="1"/>
  <c r="H22" i="2"/>
  <c r="K13" i="1"/>
  <c r="I15" i="2" s="1"/>
  <c r="H15" i="2"/>
  <c r="K90" i="1"/>
  <c r="I18" i="2" s="1"/>
  <c r="H18" i="2"/>
  <c r="K57" i="1"/>
  <c r="I17" i="2" s="1"/>
  <c r="H17" i="2"/>
  <c r="K43" i="1"/>
  <c r="I16" i="2" s="1"/>
  <c r="H16" i="2"/>
  <c r="D16" i="2"/>
  <c r="K49" i="1"/>
  <c r="D17" i="2"/>
  <c r="D18" i="2"/>
  <c r="D15" i="2"/>
  <c r="D14" i="2"/>
  <c r="K94" i="1"/>
  <c r="I14" i="2" s="1"/>
</calcChain>
</file>

<file path=xl/sharedStrings.xml><?xml version="1.0" encoding="utf-8"?>
<sst xmlns="http://schemas.openxmlformats.org/spreadsheetml/2006/main" count="355" uniqueCount="237">
  <si>
    <t>Student ID</t>
  </si>
  <si>
    <t>Name</t>
  </si>
  <si>
    <t>Class</t>
  </si>
  <si>
    <t>Maths</t>
  </si>
  <si>
    <t>Physics</t>
  </si>
  <si>
    <t>Chemistry</t>
  </si>
  <si>
    <t>English</t>
  </si>
  <si>
    <t>Computer</t>
  </si>
  <si>
    <t>ST001</t>
  </si>
  <si>
    <t>Aarav Singh</t>
  </si>
  <si>
    <t>B.Tech CSE</t>
  </si>
  <si>
    <t>ST002</t>
  </si>
  <si>
    <t>Riya Kumar</t>
  </si>
  <si>
    <t>B.Tech AI&amp;ML</t>
  </si>
  <si>
    <t>ST003</t>
  </si>
  <si>
    <t>Arjun Joshi</t>
  </si>
  <si>
    <t>ST004</t>
  </si>
  <si>
    <t>Ananya Jain</t>
  </si>
  <si>
    <t>ST005</t>
  </si>
  <si>
    <t>Rahul Bansal</t>
  </si>
  <si>
    <t>ST006</t>
  </si>
  <si>
    <t>Priya Saxena</t>
  </si>
  <si>
    <t>ST007</t>
  </si>
  <si>
    <t>Karan Sharma</t>
  </si>
  <si>
    <t>ST008</t>
  </si>
  <si>
    <t>Neha Gupta</t>
  </si>
  <si>
    <t>BCA</t>
  </si>
  <si>
    <t>ST009</t>
  </si>
  <si>
    <t>Mohit Yadav</t>
  </si>
  <si>
    <t>ST010</t>
  </si>
  <si>
    <t>Simran Saini</t>
  </si>
  <si>
    <t>ST011</t>
  </si>
  <si>
    <t>Aditya Mishra</t>
  </si>
  <si>
    <t>B.Sc CS</t>
  </si>
  <si>
    <t>ST012</t>
  </si>
  <si>
    <t>Pooja Agarwal</t>
  </si>
  <si>
    <t>ST013</t>
  </si>
  <si>
    <t>Vivek Rana</t>
  </si>
  <si>
    <t>ST014</t>
  </si>
  <si>
    <t>Sneha Verma</t>
  </si>
  <si>
    <t>ST015</t>
  </si>
  <si>
    <t>Rohit Mehta</t>
  </si>
  <si>
    <t>ST016</t>
  </si>
  <si>
    <t>Isha Patel</t>
  </si>
  <si>
    <t>ST017</t>
  </si>
  <si>
    <t>Nikhil Malik</t>
  </si>
  <si>
    <t>ST018</t>
  </si>
  <si>
    <t>Muskan Chauhan</t>
  </si>
  <si>
    <t>ST019</t>
  </si>
  <si>
    <t>Deepak Kaur</t>
  </si>
  <si>
    <t>ST020</t>
  </si>
  <si>
    <t>Tanya Goyal</t>
  </si>
  <si>
    <t>ST021</t>
  </si>
  <si>
    <t>Yash Singh</t>
  </si>
  <si>
    <t>ST022</t>
  </si>
  <si>
    <t>Kavya Kumar</t>
  </si>
  <si>
    <t>ST023</t>
  </si>
  <si>
    <t>Harsh Joshi</t>
  </si>
  <si>
    <t>ST024</t>
  </si>
  <si>
    <t>Aditi Jain</t>
  </si>
  <si>
    <t>ST025</t>
  </si>
  <si>
    <t>Manish Bansal</t>
  </si>
  <si>
    <t>ST026</t>
  </si>
  <si>
    <t>Sakshi Saxena</t>
  </si>
  <si>
    <t>ST027</t>
  </si>
  <si>
    <t>Varun Sharma</t>
  </si>
  <si>
    <t>ST028</t>
  </si>
  <si>
    <t>Mehak Gupta</t>
  </si>
  <si>
    <t>ST029</t>
  </si>
  <si>
    <t>Akash Yadav</t>
  </si>
  <si>
    <t>ST030</t>
  </si>
  <si>
    <t>Nandini Saini</t>
  </si>
  <si>
    <t>ST031</t>
  </si>
  <si>
    <t>Vikram Mishra</t>
  </si>
  <si>
    <t>ST032</t>
  </si>
  <si>
    <t>Shreya Agarwal</t>
  </si>
  <si>
    <t>ST033</t>
  </si>
  <si>
    <t>Ankit Rana</t>
  </si>
  <si>
    <t>ST034</t>
  </si>
  <si>
    <t>Palak Verma</t>
  </si>
  <si>
    <t>ST035</t>
  </si>
  <si>
    <t>Sahil Mehta</t>
  </si>
  <si>
    <t>ST036</t>
  </si>
  <si>
    <t>Komal Patel</t>
  </si>
  <si>
    <t>ST037</t>
  </si>
  <si>
    <t>Rajat Malik</t>
  </si>
  <si>
    <t>ST038</t>
  </si>
  <si>
    <t>Divya Chauhan</t>
  </si>
  <si>
    <t>ST039</t>
  </si>
  <si>
    <t>Aman Kaur</t>
  </si>
  <si>
    <t>ST040</t>
  </si>
  <si>
    <t>Nisha Goyal</t>
  </si>
  <si>
    <t>ST041</t>
  </si>
  <si>
    <t>Dev Singh</t>
  </si>
  <si>
    <t>ST042</t>
  </si>
  <si>
    <t>Manya Kumar</t>
  </si>
  <si>
    <t>ST043</t>
  </si>
  <si>
    <t>Abhishek Joshi</t>
  </si>
  <si>
    <t>ST044</t>
  </si>
  <si>
    <t>Tanvi Jain</t>
  </si>
  <si>
    <t>ST045</t>
  </si>
  <si>
    <t>Gaurav Bansal</t>
  </si>
  <si>
    <t>ST046</t>
  </si>
  <si>
    <t>Anjali Saxena</t>
  </si>
  <si>
    <t>ST047</t>
  </si>
  <si>
    <t>Rishabh Sharma</t>
  </si>
  <si>
    <t>ST048</t>
  </si>
  <si>
    <t>Preeti Gupta</t>
  </si>
  <si>
    <t>ST049</t>
  </si>
  <si>
    <t>Sumit Yadav</t>
  </si>
  <si>
    <t>ST050</t>
  </si>
  <si>
    <t>Kritika Saini</t>
  </si>
  <si>
    <t>ST051</t>
  </si>
  <si>
    <t>Aarav Mishra</t>
  </si>
  <si>
    <t>ST052</t>
  </si>
  <si>
    <t>Riya Agarwal</t>
  </si>
  <si>
    <t>ST053</t>
  </si>
  <si>
    <t>Arjun Rana</t>
  </si>
  <si>
    <t>ST054</t>
  </si>
  <si>
    <t>Ananya Verma</t>
  </si>
  <si>
    <t>ST055</t>
  </si>
  <si>
    <t>Rahul Mehta</t>
  </si>
  <si>
    <t>ST056</t>
  </si>
  <si>
    <t>Priya Patel</t>
  </si>
  <si>
    <t>ST057</t>
  </si>
  <si>
    <t>Karan Malik</t>
  </si>
  <si>
    <t>ST058</t>
  </si>
  <si>
    <t>Neha Chauhan</t>
  </si>
  <si>
    <t>ST059</t>
  </si>
  <si>
    <t>Mohit Kaur</t>
  </si>
  <si>
    <t>ST060</t>
  </si>
  <si>
    <t>Simran Goyal</t>
  </si>
  <si>
    <t>ST061</t>
  </si>
  <si>
    <t>Aditya Singh</t>
  </si>
  <si>
    <t>ST062</t>
  </si>
  <si>
    <t>Pooja Kumar</t>
  </si>
  <si>
    <t>ST063</t>
  </si>
  <si>
    <t>Vivek Joshi</t>
  </si>
  <si>
    <t>ST064</t>
  </si>
  <si>
    <t>Sneha Jain</t>
  </si>
  <si>
    <t>ST065</t>
  </si>
  <si>
    <t>Rohit Bansal</t>
  </si>
  <si>
    <t>ST066</t>
  </si>
  <si>
    <t>Isha Saxena</t>
  </si>
  <si>
    <t>ST067</t>
  </si>
  <si>
    <t>Nikhil Sharma</t>
  </si>
  <si>
    <t>ST068</t>
  </si>
  <si>
    <t>Muskan Gupta</t>
  </si>
  <si>
    <t>ST069</t>
  </si>
  <si>
    <t>Deepak Yadav</t>
  </si>
  <si>
    <t>ST070</t>
  </si>
  <si>
    <t>Tanya Saini</t>
  </si>
  <si>
    <t>ST071</t>
  </si>
  <si>
    <t>Yash Mishra</t>
  </si>
  <si>
    <t>ST072</t>
  </si>
  <si>
    <t>Kavya Agarwal</t>
  </si>
  <si>
    <t>ST073</t>
  </si>
  <si>
    <t>Harsh Rana</t>
  </si>
  <si>
    <t>ST074</t>
  </si>
  <si>
    <t>Aditi Verma</t>
  </si>
  <si>
    <t>ST075</t>
  </si>
  <si>
    <t>Manish Mehta</t>
  </si>
  <si>
    <t>ST076</t>
  </si>
  <si>
    <t>Sakshi Patel</t>
  </si>
  <si>
    <t>ST077</t>
  </si>
  <si>
    <t>Varun Malik</t>
  </si>
  <si>
    <t>ST078</t>
  </si>
  <si>
    <t>Mehak Chauhan</t>
  </si>
  <si>
    <t>ST079</t>
  </si>
  <si>
    <t>Akash Kaur</t>
  </si>
  <si>
    <t>ST080</t>
  </si>
  <si>
    <t>Nandini Goyal</t>
  </si>
  <si>
    <t>ST081</t>
  </si>
  <si>
    <t>Vikram Singh</t>
  </si>
  <si>
    <t>ST082</t>
  </si>
  <si>
    <t>Shreya Kumar</t>
  </si>
  <si>
    <t>ST083</t>
  </si>
  <si>
    <t>Ankit Joshi</t>
  </si>
  <si>
    <t>ST084</t>
  </si>
  <si>
    <t>Palak Jain</t>
  </si>
  <si>
    <t>ST085</t>
  </si>
  <si>
    <t>Sahil Bansal</t>
  </si>
  <si>
    <t>ST086</t>
  </si>
  <si>
    <t>Komal Saxena</t>
  </si>
  <si>
    <t>ST087</t>
  </si>
  <si>
    <t>Rajat Sharma</t>
  </si>
  <si>
    <t>ST088</t>
  </si>
  <si>
    <t>Divya Gupta</t>
  </si>
  <si>
    <t>ST089</t>
  </si>
  <si>
    <t>Aman Yadav</t>
  </si>
  <si>
    <t>ST090</t>
  </si>
  <si>
    <t>Nisha Saini</t>
  </si>
  <si>
    <t>ST091</t>
  </si>
  <si>
    <t>Dev Mishra</t>
  </si>
  <si>
    <t>ST092</t>
  </si>
  <si>
    <t>Manya Agarwal</t>
  </si>
  <si>
    <t>ST093</t>
  </si>
  <si>
    <t>Abhishek Rana</t>
  </si>
  <si>
    <t>ST094</t>
  </si>
  <si>
    <t>Tanvi Verma</t>
  </si>
  <si>
    <t>ST095</t>
  </si>
  <si>
    <t>Gaurav Mehta</t>
  </si>
  <si>
    <t>ST096</t>
  </si>
  <si>
    <t>Anjali Patel</t>
  </si>
  <si>
    <t>ST097</t>
  </si>
  <si>
    <t>Rishabh Malik</t>
  </si>
  <si>
    <t>ST098</t>
  </si>
  <si>
    <t>Preeti Chauhan</t>
  </si>
  <si>
    <t>ST099</t>
  </si>
  <si>
    <t>Sumit Kaur</t>
  </si>
  <si>
    <t>ST100</t>
  </si>
  <si>
    <t>Kritika Goyal</t>
  </si>
  <si>
    <t xml:space="preserve">Total Marks </t>
  </si>
  <si>
    <t>Average</t>
  </si>
  <si>
    <t>Result</t>
  </si>
  <si>
    <t>Percentage</t>
  </si>
  <si>
    <t>Total Students</t>
  </si>
  <si>
    <t>Class Average</t>
  </si>
  <si>
    <t>Highest Total Marks</t>
  </si>
  <si>
    <t>Passed Students</t>
  </si>
  <si>
    <t>Failed Student</t>
  </si>
  <si>
    <t>Lowest Total marks</t>
  </si>
  <si>
    <t>Basic Statistics</t>
  </si>
  <si>
    <t>Subject</t>
  </si>
  <si>
    <t>Average Marks</t>
  </si>
  <si>
    <t>Subject-wise Analysis</t>
  </si>
  <si>
    <t>Rank</t>
  </si>
  <si>
    <t>Student Name</t>
  </si>
  <si>
    <t>Total Marks</t>
  </si>
  <si>
    <t>Top 5 Students</t>
  </si>
  <si>
    <t>Bottom 5 Students</t>
  </si>
  <si>
    <t>Students</t>
  </si>
  <si>
    <t>Pass</t>
  </si>
  <si>
    <t>Fail</t>
  </si>
  <si>
    <t>Pass/Fail Analysis</t>
  </si>
  <si>
    <t>Dashboard for this project</t>
  </si>
  <si>
    <t>Simple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</si>
</sst>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13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024166666666666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30978344092781"/>
          <c:y val="0.19738183236643742"/>
          <c:w val="0.8806902165590722"/>
          <c:h val="0.687587063478915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Analysis!$D$20:$D$21</c:f>
              <c:strCache>
                <c:ptCount val="2"/>
                <c:pt idx="0">
                  <c:v>Subject-wise Analysis</c:v>
                </c:pt>
                <c:pt idx="1">
                  <c:v>Average 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Analysis!$C$22:$C$26</c:f>
              <c:strCache>
                <c:ptCount val="5"/>
                <c:pt idx="0">
                  <c:v>Maths</c:v>
                </c:pt>
                <c:pt idx="1">
                  <c:v>Physics</c:v>
                </c:pt>
                <c:pt idx="2">
                  <c:v>Chemistry</c:v>
                </c:pt>
                <c:pt idx="3">
                  <c:v>English</c:v>
                </c:pt>
                <c:pt idx="4">
                  <c:v>Computer</c:v>
                </c:pt>
              </c:strCache>
            </c:strRef>
          </c:cat>
          <c:val>
            <c:numRef>
              <c:f>Analysis!$D$22:$D$26</c:f>
              <c:numCache>
                <c:formatCode>General</c:formatCode>
                <c:ptCount val="5"/>
                <c:pt idx="0">
                  <c:v>66.89</c:v>
                </c:pt>
                <c:pt idx="1">
                  <c:v>67.52</c:v>
                </c:pt>
                <c:pt idx="2">
                  <c:v>67.239999999999995</c:v>
                </c:pt>
                <c:pt idx="3">
                  <c:v>70.599999999999994</c:v>
                </c:pt>
                <c:pt idx="4">
                  <c:v>69.099999999999994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A-4388-93E8-190F72EEF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0892975"/>
        <c:axId val="700891055"/>
      </c:barChart>
      <c:catAx>
        <c:axId val="70089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891055"/>
        <c:crosses val="autoZero"/>
        <c:auto val="1"/>
        <c:lblAlgn val="ctr"/>
        <c:lblOffset val="100"/>
        <c:noMultiLvlLbl val="0"/>
      </c:catAx>
      <c:valAx>
        <c:axId val="70089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89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Students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73476926628894"/>
          <c:y val="0.23248024946668666"/>
          <c:w val="0.8792652307337111"/>
          <c:h val="0.667003290124624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Analysis!$H$13</c:f>
              <c:strCache>
                <c:ptCount val="1"/>
                <c:pt idx="0">
                  <c:v>Total 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Analysis!$G$14:$G$18</c:f>
              <c:strCache>
                <c:ptCount val="5"/>
                <c:pt idx="0">
                  <c:v>Abhishek Rana</c:v>
                </c:pt>
                <c:pt idx="1">
                  <c:v>Pooja Agarwal</c:v>
                </c:pt>
                <c:pt idx="2">
                  <c:v>Manya Kumar</c:v>
                </c:pt>
                <c:pt idx="3">
                  <c:v>Priya Patel</c:v>
                </c:pt>
                <c:pt idx="4">
                  <c:v>Aman Yadav</c:v>
                </c:pt>
              </c:strCache>
            </c:strRef>
          </c:cat>
          <c:val>
            <c:numRef>
              <c:f>Analysis!$H$14:$H$18</c:f>
              <c:numCache>
                <c:formatCode>General</c:formatCode>
                <c:ptCount val="5"/>
                <c:pt idx="0">
                  <c:v>436</c:v>
                </c:pt>
                <c:pt idx="1">
                  <c:v>433</c:v>
                </c:pt>
                <c:pt idx="2">
                  <c:v>421</c:v>
                </c:pt>
                <c:pt idx="3">
                  <c:v>413</c:v>
                </c:pt>
                <c:pt idx="4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3-499C-A25A-D2F0DD47F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3804847"/>
        <c:axId val="733804367"/>
      </c:barChart>
      <c:catAx>
        <c:axId val="73380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804367"/>
        <c:crosses val="autoZero"/>
        <c:auto val="1"/>
        <c:lblAlgn val="ctr"/>
        <c:lblOffset val="100"/>
        <c:noMultiLvlLbl val="0"/>
      </c:catAx>
      <c:valAx>
        <c:axId val="73380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80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</a:t>
            </a:r>
            <a:r>
              <a:rPr lang="en-US" baseline="0"/>
              <a:t> 5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Analysis!$H$21</c:f>
              <c:strCache>
                <c:ptCount val="1"/>
                <c:pt idx="0">
                  <c:v>Total 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Analysis!$G$22:$G$26</c:f>
              <c:strCache>
                <c:ptCount val="5"/>
                <c:pt idx="0">
                  <c:v>Mohit Yadav</c:v>
                </c:pt>
                <c:pt idx="1">
                  <c:v>Arjun Joshi</c:v>
                </c:pt>
                <c:pt idx="2">
                  <c:v>Simran Goyal</c:v>
                </c:pt>
                <c:pt idx="3">
                  <c:v>Gaurav Bansal</c:v>
                </c:pt>
                <c:pt idx="4">
                  <c:v>Rajat Sharma</c:v>
                </c:pt>
              </c:strCache>
            </c:strRef>
          </c:cat>
          <c:val>
            <c:numRef>
              <c:f>Analysis!$H$22:$H$26</c:f>
              <c:numCache>
                <c:formatCode>General</c:formatCode>
                <c:ptCount val="5"/>
                <c:pt idx="0">
                  <c:v>253</c:v>
                </c:pt>
                <c:pt idx="1">
                  <c:v>262</c:v>
                </c:pt>
                <c:pt idx="2">
                  <c:v>264</c:v>
                </c:pt>
                <c:pt idx="3">
                  <c:v>267</c:v>
                </c:pt>
                <c:pt idx="4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4-46A5-AD78-6459822EC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2951199"/>
        <c:axId val="222949759"/>
      </c:barChart>
      <c:catAx>
        <c:axId val="22295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949759"/>
        <c:crosses val="autoZero"/>
        <c:auto val="1"/>
        <c:lblAlgn val="ctr"/>
        <c:lblOffset val="100"/>
        <c:noMultiLvlLbl val="0"/>
      </c:catAx>
      <c:valAx>
        <c:axId val="22294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95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Students Pass/Fail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Analysis!$L$13</c:f>
              <c:strCache>
                <c:ptCount val="1"/>
                <c:pt idx="0">
                  <c:v>Students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BE-46DF-9B09-E8FFC9F6A7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BE-46DF-9B09-E8FFC9F6A71A}"/>
              </c:ext>
            </c:extLst>
          </c:dPt>
          <c:cat>
            <c:strRef>
              <c:f>Analysis!$K$14:$K$15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Analysis!$L$14:$L$15</c:f>
              <c:numCache>
                <c:formatCode>General</c:formatCode>
                <c:ptCount val="2"/>
                <c:pt idx="0">
                  <c:v>86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BE-46DF-9B09-E8FFC9F6A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500440</xdr:colOff>
      <xdr:row>6</xdr:row>
      <xdr:rowOff>25702</xdr:rowOff>
    </xdr:from>
    <xdr:to>
      <xdr:col>8</xdr:col>
      <xdr:colOff>565150</xdr:colOff>
      <xdr:row>18</xdr:row>
      <xdr:rowOff>127000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3C8CF0F9-9F76-9A90-2576-030484F3D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565150</xdr:colOff>
      <xdr:row>6</xdr:row>
      <xdr:rowOff>18445</xdr:rowOff>
    </xdr:from>
    <xdr:to>
      <xdr:col>15</xdr:col>
      <xdr:colOff>455990</xdr:colOff>
      <xdr:row>18</xdr:row>
      <xdr:rowOff>107950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6F0F32C-AC03-DD35-8FF8-E17ED12BB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571500</xdr:colOff>
      <xdr:row>18</xdr:row>
      <xdr:rowOff>101599</xdr:rowOff>
    </xdr:from>
    <xdr:to>
      <xdr:col>15</xdr:col>
      <xdr:colOff>450850</xdr:colOff>
      <xdr:row>31</xdr:row>
      <xdr:rowOff>82550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C65990C0-E212-9573-B99C-1DE363BAA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494090</xdr:colOff>
      <xdr:row>18</xdr:row>
      <xdr:rowOff>139699</xdr:rowOff>
    </xdr:from>
    <xdr:to>
      <xdr:col>8</xdr:col>
      <xdr:colOff>584200</xdr:colOff>
      <xdr:row>31</xdr:row>
      <xdr:rowOff>63500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1513480D-778B-9258-50DD-F9F7A4B72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1FE355-27AD-4658-9375-A19BF4A5A148}" name="Table1" displayName="Table1" ref="A1:L102" totalsRowShown="0" headerRowDxfId="12" dataDxfId="11">
  <autoFilter ref="A1:L102" xr:uid="{00000000-0009-0000-0000-000000000000}"/>
  <sortState xmlns:xlrd2="http://schemas.microsoft.com/office/spreadsheetml/2017/richdata2" ref="A2:L102">
    <sortCondition ref="A1:A102"/>
  </sortState>
  <tableColumns count="12">
    <tableColumn id="1" xr3:uid="{FE56E04B-5DD6-4032-A4D7-204F2FE3FAAA}" name="Student ID" dataDxfId="10"/>
    <tableColumn id="2" xr3:uid="{E31D9FCF-92AC-47B0-849D-2220024FD5D9}" name="Name"/>
    <tableColumn id="3" xr3:uid="{98B63AAA-5A11-421D-9C59-1FC2490F1BAB}" name="Class" dataDxfId="9"/>
    <tableColumn id="4" xr3:uid="{9807A13C-37E1-4D03-8CCB-7D72292A4A6A}" name="Maths" dataDxfId="8"/>
    <tableColumn id="5" xr3:uid="{E33BFDD3-94AF-4EDC-8D5A-89C11DC4A278}" name="Physics" dataDxfId="7"/>
    <tableColumn id="6" xr3:uid="{57DF2A93-2CAF-45C9-A3F6-606431D2AE07}" name="Chemistry" dataDxfId="6"/>
    <tableColumn id="7" xr3:uid="{E238625C-57B7-4E37-94CE-768951E9F842}" name="English" dataDxfId="5"/>
    <tableColumn id="8" xr3:uid="{721C6967-69C6-47D1-ACDA-1C7969B8A0CD}" name="Computer" dataDxfId="4"/>
    <tableColumn id="9" xr3:uid="{76F84AD2-D539-483A-8057-510DD37A9B38}" name="Total Marks " dataDxfId="3">
      <calculatedColumnFormula>SUM(D2:H2)</calculatedColumnFormula>
    </tableColumn>
    <tableColumn id="10" xr3:uid="{BA0CEBEE-EE11-4EB2-9925-B570053B7FEE}" name="Average" dataDxfId="2">
      <calculatedColumnFormula>AVERAGE(D2:H2)</calculatedColumnFormula>
    </tableColumn>
    <tableColumn id="13" xr3:uid="{E3055F77-C7BE-4243-A601-AE08C927D3DC}" name="Percentage" dataDxfId="1">
      <calculatedColumnFormula>I2/5</calculatedColumnFormula>
    </tableColumn>
    <tableColumn id="11" xr3:uid="{D423F741-D436-4E15-A7D7-A669BDCD1430}" name="Result" dataDxfId="0">
      <calculatedColumnFormula>IF(MIN(D2:H2)&gt;=40," PASS", "FAIL")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opLeftCell="D1" workbookViewId="0">
      <pane ySplit="1" topLeftCell="A2" activePane="bottomLeft" state="frozen"/>
      <selection pane="bottomLeft" activeCell="D17" sqref="D17"/>
    </sheetView>
  </sheetViews>
  <sheetFormatPr defaultColWidth="15.90625"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212</v>
      </c>
      <c r="J1" s="1" t="s">
        <v>213</v>
      </c>
      <c r="K1" s="3" t="s">
        <v>215</v>
      </c>
      <c r="L1" s="1" t="s">
        <v>214</v>
      </c>
    </row>
    <row r="2" spans="1:12" x14ac:dyDescent="0.35">
      <c r="A2" s="2" t="s">
        <v>8</v>
      </c>
      <c r="B2" t="s">
        <v>9</v>
      </c>
      <c r="C2" s="2" t="s">
        <v>10</v>
      </c>
      <c r="D2" s="2">
        <v>39</v>
      </c>
      <c r="E2" s="2">
        <v>85</v>
      </c>
      <c r="F2" s="2">
        <v>55</v>
      </c>
      <c r="G2" s="2">
        <v>53</v>
      </c>
      <c r="H2" s="2">
        <v>52</v>
      </c>
      <c r="I2" s="2">
        <f t="shared" ref="I2:I33" si="0">SUM(D2:H2)</f>
        <v>284</v>
      </c>
      <c r="J2" s="2">
        <f t="shared" ref="J2:J33" si="1">AVERAGE(D2:H2)</f>
        <v>56.8</v>
      </c>
      <c r="K2" s="2">
        <f t="shared" ref="K2:K33" si="2">I2/5</f>
        <v>56.8</v>
      </c>
      <c r="L2" s="2" t="str">
        <f t="shared" ref="L2:L33" si="3">IF(MIN(D2:H2)&gt;=40," PASS", "FAIL")</f>
        <v>FAIL</v>
      </c>
    </row>
    <row r="3" spans="1:12" x14ac:dyDescent="0.35">
      <c r="A3" s="2" t="s">
        <v>11</v>
      </c>
      <c r="B3" t="s">
        <v>12</v>
      </c>
      <c r="C3" s="2" t="s">
        <v>13</v>
      </c>
      <c r="D3" s="2">
        <v>85</v>
      </c>
      <c r="E3" s="2">
        <v>44</v>
      </c>
      <c r="F3" s="2">
        <v>81</v>
      </c>
      <c r="G3" s="2">
        <v>85</v>
      </c>
      <c r="H3" s="2">
        <v>95</v>
      </c>
      <c r="I3" s="2">
        <f t="shared" si="0"/>
        <v>390</v>
      </c>
      <c r="J3" s="2">
        <f t="shared" si="1"/>
        <v>78</v>
      </c>
      <c r="K3" s="2">
        <f t="shared" si="2"/>
        <v>78</v>
      </c>
      <c r="L3" s="2" t="str">
        <f t="shared" si="3"/>
        <v xml:space="preserve"> PASS</v>
      </c>
    </row>
    <row r="4" spans="1:12" x14ac:dyDescent="0.35">
      <c r="A4" s="2" t="s">
        <v>14</v>
      </c>
      <c r="B4" t="s">
        <v>15</v>
      </c>
      <c r="C4" s="2" t="s">
        <v>10</v>
      </c>
      <c r="D4" s="2">
        <v>75</v>
      </c>
      <c r="E4" s="2">
        <v>65</v>
      </c>
      <c r="F4" s="2">
        <v>40</v>
      </c>
      <c r="G4" s="2">
        <v>39</v>
      </c>
      <c r="H4" s="2">
        <v>43</v>
      </c>
      <c r="I4" s="2">
        <f t="shared" si="0"/>
        <v>262</v>
      </c>
      <c r="J4" s="2">
        <f t="shared" si="1"/>
        <v>52.4</v>
      </c>
      <c r="K4" s="2">
        <f t="shared" si="2"/>
        <v>52.4</v>
      </c>
      <c r="L4" s="2" t="str">
        <f t="shared" si="3"/>
        <v>FAIL</v>
      </c>
    </row>
    <row r="5" spans="1:12" x14ac:dyDescent="0.35">
      <c r="A5" s="2" t="s">
        <v>16</v>
      </c>
      <c r="B5" t="s">
        <v>17</v>
      </c>
      <c r="C5" s="2" t="s">
        <v>13</v>
      </c>
      <c r="D5" s="2">
        <v>52</v>
      </c>
      <c r="E5" s="2">
        <v>70</v>
      </c>
      <c r="F5" s="2">
        <v>76</v>
      </c>
      <c r="G5" s="2">
        <v>39</v>
      </c>
      <c r="H5" s="2">
        <v>73</v>
      </c>
      <c r="I5" s="2">
        <f t="shared" si="0"/>
        <v>310</v>
      </c>
      <c r="J5" s="2">
        <f t="shared" si="1"/>
        <v>62</v>
      </c>
      <c r="K5" s="2">
        <f t="shared" si="2"/>
        <v>62</v>
      </c>
      <c r="L5" s="2" t="str">
        <f t="shared" si="3"/>
        <v>FAIL</v>
      </c>
    </row>
    <row r="6" spans="1:12" x14ac:dyDescent="0.35">
      <c r="A6" s="2" t="s">
        <v>18</v>
      </c>
      <c r="B6" t="s">
        <v>19</v>
      </c>
      <c r="C6" s="2" t="s">
        <v>13</v>
      </c>
      <c r="D6" s="2">
        <v>83</v>
      </c>
      <c r="E6" s="2">
        <v>79</v>
      </c>
      <c r="F6" s="2">
        <v>82</v>
      </c>
      <c r="G6" s="2">
        <v>72</v>
      </c>
      <c r="H6" s="2">
        <v>64</v>
      </c>
      <c r="I6" s="2">
        <f t="shared" si="0"/>
        <v>380</v>
      </c>
      <c r="J6" s="2">
        <f t="shared" si="1"/>
        <v>76</v>
      </c>
      <c r="K6" s="2">
        <f t="shared" si="2"/>
        <v>76</v>
      </c>
      <c r="L6" s="2" t="str">
        <f t="shared" si="3"/>
        <v xml:space="preserve"> PASS</v>
      </c>
    </row>
    <row r="7" spans="1:12" x14ac:dyDescent="0.35">
      <c r="A7" s="2" t="s">
        <v>20</v>
      </c>
      <c r="B7" t="s">
        <v>21</v>
      </c>
      <c r="C7" s="2" t="s">
        <v>13</v>
      </c>
      <c r="D7" s="2">
        <v>66</v>
      </c>
      <c r="E7" s="2">
        <v>75</v>
      </c>
      <c r="F7" s="2">
        <v>55</v>
      </c>
      <c r="G7" s="2">
        <v>89</v>
      </c>
      <c r="H7" s="2">
        <v>93</v>
      </c>
      <c r="I7" s="2">
        <f t="shared" si="0"/>
        <v>378</v>
      </c>
      <c r="J7" s="2">
        <f t="shared" si="1"/>
        <v>75.599999999999994</v>
      </c>
      <c r="K7" s="2">
        <f t="shared" si="2"/>
        <v>75.599999999999994</v>
      </c>
      <c r="L7" s="2" t="str">
        <f t="shared" si="3"/>
        <v xml:space="preserve"> PASS</v>
      </c>
    </row>
    <row r="8" spans="1:12" x14ac:dyDescent="0.35">
      <c r="A8" s="2" t="s">
        <v>22</v>
      </c>
      <c r="B8" t="s">
        <v>23</v>
      </c>
      <c r="C8" s="2" t="s">
        <v>10</v>
      </c>
      <c r="D8" s="2">
        <v>86</v>
      </c>
      <c r="E8" s="2">
        <v>89</v>
      </c>
      <c r="F8" s="2">
        <v>48</v>
      </c>
      <c r="G8" s="2">
        <v>82</v>
      </c>
      <c r="H8" s="2">
        <v>65</v>
      </c>
      <c r="I8" s="2">
        <f t="shared" si="0"/>
        <v>370</v>
      </c>
      <c r="J8" s="2">
        <f t="shared" si="1"/>
        <v>74</v>
      </c>
      <c r="K8" s="2">
        <f t="shared" si="2"/>
        <v>74</v>
      </c>
      <c r="L8" s="2" t="str">
        <f t="shared" si="3"/>
        <v xml:space="preserve"> PASS</v>
      </c>
    </row>
    <row r="9" spans="1:12" x14ac:dyDescent="0.35">
      <c r="A9" s="2" t="s">
        <v>24</v>
      </c>
      <c r="B9" t="s">
        <v>25</v>
      </c>
      <c r="C9" s="2" t="s">
        <v>26</v>
      </c>
      <c r="D9" s="2">
        <v>55</v>
      </c>
      <c r="E9" s="2">
        <v>47</v>
      </c>
      <c r="F9" s="2">
        <v>51</v>
      </c>
      <c r="G9" s="2">
        <v>99</v>
      </c>
      <c r="H9" s="2">
        <v>86</v>
      </c>
      <c r="I9" s="2">
        <f t="shared" si="0"/>
        <v>338</v>
      </c>
      <c r="J9" s="2">
        <f t="shared" si="1"/>
        <v>67.599999999999994</v>
      </c>
      <c r="K9" s="2">
        <f t="shared" si="2"/>
        <v>67.599999999999994</v>
      </c>
      <c r="L9" s="2" t="str">
        <f t="shared" si="3"/>
        <v xml:space="preserve"> PASS</v>
      </c>
    </row>
    <row r="10" spans="1:12" x14ac:dyDescent="0.35">
      <c r="A10" s="2" t="s">
        <v>27</v>
      </c>
      <c r="B10" t="s">
        <v>28</v>
      </c>
      <c r="C10" s="2" t="s">
        <v>26</v>
      </c>
      <c r="D10" s="2">
        <v>44</v>
      </c>
      <c r="E10" s="2">
        <v>43</v>
      </c>
      <c r="F10" s="2">
        <v>62</v>
      </c>
      <c r="G10" s="2">
        <v>44</v>
      </c>
      <c r="H10" s="2">
        <v>60</v>
      </c>
      <c r="I10" s="2">
        <f t="shared" si="0"/>
        <v>253</v>
      </c>
      <c r="J10" s="2">
        <f t="shared" si="1"/>
        <v>50.6</v>
      </c>
      <c r="K10" s="2">
        <f t="shared" si="2"/>
        <v>50.6</v>
      </c>
      <c r="L10" s="2" t="str">
        <f t="shared" si="3"/>
        <v xml:space="preserve"> PASS</v>
      </c>
    </row>
    <row r="11" spans="1:12" x14ac:dyDescent="0.35">
      <c r="A11" s="2" t="s">
        <v>29</v>
      </c>
      <c r="B11" t="s">
        <v>30</v>
      </c>
      <c r="C11" s="2" t="s">
        <v>26</v>
      </c>
      <c r="D11" s="2">
        <v>76</v>
      </c>
      <c r="E11" s="2">
        <v>54</v>
      </c>
      <c r="F11" s="2">
        <v>89</v>
      </c>
      <c r="G11" s="2">
        <v>40</v>
      </c>
      <c r="H11" s="2">
        <v>84</v>
      </c>
      <c r="I11" s="2">
        <f t="shared" si="0"/>
        <v>343</v>
      </c>
      <c r="J11" s="2">
        <f t="shared" si="1"/>
        <v>68.599999999999994</v>
      </c>
      <c r="K11" s="2">
        <f t="shared" si="2"/>
        <v>68.599999999999994</v>
      </c>
      <c r="L11" s="2" t="str">
        <f t="shared" si="3"/>
        <v xml:space="preserve"> PASS</v>
      </c>
    </row>
    <row r="12" spans="1:12" x14ac:dyDescent="0.35">
      <c r="A12" s="2" t="s">
        <v>31</v>
      </c>
      <c r="B12" t="s">
        <v>32</v>
      </c>
      <c r="C12" s="2" t="s">
        <v>33</v>
      </c>
      <c r="D12" s="2">
        <v>72</v>
      </c>
      <c r="E12" s="2">
        <v>45</v>
      </c>
      <c r="F12" s="2">
        <v>97</v>
      </c>
      <c r="G12" s="2">
        <v>62</v>
      </c>
      <c r="H12" s="2">
        <v>43</v>
      </c>
      <c r="I12" s="2">
        <f t="shared" si="0"/>
        <v>319</v>
      </c>
      <c r="J12" s="2">
        <f t="shared" si="1"/>
        <v>63.8</v>
      </c>
      <c r="K12" s="2">
        <f t="shared" si="2"/>
        <v>63.8</v>
      </c>
      <c r="L12" s="2" t="str">
        <f t="shared" si="3"/>
        <v xml:space="preserve"> PASS</v>
      </c>
    </row>
    <row r="13" spans="1:12" x14ac:dyDescent="0.35">
      <c r="A13" s="2" t="s">
        <v>34</v>
      </c>
      <c r="B13" t="s">
        <v>35</v>
      </c>
      <c r="C13" s="2" t="s">
        <v>26</v>
      </c>
      <c r="D13" s="2">
        <v>91</v>
      </c>
      <c r="E13" s="2">
        <v>78</v>
      </c>
      <c r="F13" s="2">
        <v>77</v>
      </c>
      <c r="G13" s="2">
        <v>94</v>
      </c>
      <c r="H13" s="2">
        <v>93</v>
      </c>
      <c r="I13" s="2">
        <f t="shared" si="0"/>
        <v>433</v>
      </c>
      <c r="J13" s="2">
        <f t="shared" si="1"/>
        <v>86.6</v>
      </c>
      <c r="K13" s="2">
        <f t="shared" si="2"/>
        <v>86.6</v>
      </c>
      <c r="L13" s="2" t="str">
        <f t="shared" si="3"/>
        <v xml:space="preserve"> PASS</v>
      </c>
    </row>
    <row r="14" spans="1:12" x14ac:dyDescent="0.35">
      <c r="A14" s="2" t="s">
        <v>36</v>
      </c>
      <c r="B14" t="s">
        <v>37</v>
      </c>
      <c r="C14" s="2" t="s">
        <v>26</v>
      </c>
      <c r="D14" s="2">
        <v>74</v>
      </c>
      <c r="E14" s="2">
        <v>50</v>
      </c>
      <c r="F14" s="2">
        <v>83</v>
      </c>
      <c r="G14" s="2">
        <v>42</v>
      </c>
      <c r="H14" s="2">
        <v>40</v>
      </c>
      <c r="I14" s="2">
        <f t="shared" si="0"/>
        <v>289</v>
      </c>
      <c r="J14" s="2">
        <f t="shared" si="1"/>
        <v>57.8</v>
      </c>
      <c r="K14" s="2">
        <f t="shared" si="2"/>
        <v>57.8</v>
      </c>
      <c r="L14" s="2" t="str">
        <f t="shared" si="3"/>
        <v xml:space="preserve"> PASS</v>
      </c>
    </row>
    <row r="15" spans="1:12" x14ac:dyDescent="0.35">
      <c r="A15" s="2" t="s">
        <v>38</v>
      </c>
      <c r="B15" t="s">
        <v>39</v>
      </c>
      <c r="C15" s="2" t="s">
        <v>13</v>
      </c>
      <c r="D15" s="2">
        <v>87</v>
      </c>
      <c r="E15" s="2">
        <v>56</v>
      </c>
      <c r="F15" s="2">
        <v>43</v>
      </c>
      <c r="G15" s="2">
        <v>92</v>
      </c>
      <c r="H15" s="2">
        <v>52</v>
      </c>
      <c r="I15" s="2">
        <f t="shared" si="0"/>
        <v>330</v>
      </c>
      <c r="J15" s="2">
        <f t="shared" si="1"/>
        <v>66</v>
      </c>
      <c r="K15" s="2">
        <f t="shared" si="2"/>
        <v>66</v>
      </c>
      <c r="L15" s="2" t="str">
        <f t="shared" si="3"/>
        <v xml:space="preserve"> PASS</v>
      </c>
    </row>
    <row r="16" spans="1:12" x14ac:dyDescent="0.35">
      <c r="A16" s="2" t="s">
        <v>40</v>
      </c>
      <c r="B16" t="s">
        <v>41</v>
      </c>
      <c r="C16" s="2" t="s">
        <v>10</v>
      </c>
      <c r="D16" s="2">
        <v>62</v>
      </c>
      <c r="E16" s="2">
        <v>55</v>
      </c>
      <c r="F16" s="2">
        <v>67</v>
      </c>
      <c r="G16" s="2">
        <v>78</v>
      </c>
      <c r="H16" s="2">
        <v>91</v>
      </c>
      <c r="I16" s="2">
        <f t="shared" si="0"/>
        <v>353</v>
      </c>
      <c r="J16" s="2">
        <f t="shared" si="1"/>
        <v>70.599999999999994</v>
      </c>
      <c r="K16" s="2">
        <f t="shared" si="2"/>
        <v>70.599999999999994</v>
      </c>
      <c r="L16" s="2" t="str">
        <f t="shared" si="3"/>
        <v xml:space="preserve"> PASS</v>
      </c>
    </row>
    <row r="17" spans="1:12" x14ac:dyDescent="0.35">
      <c r="A17" s="2" t="s">
        <v>42</v>
      </c>
      <c r="B17" t="s">
        <v>43</v>
      </c>
      <c r="C17" s="2" t="s">
        <v>26</v>
      </c>
      <c r="D17" s="2">
        <v>48</v>
      </c>
      <c r="E17" s="2">
        <v>61</v>
      </c>
      <c r="F17" s="2">
        <v>60</v>
      </c>
      <c r="G17" s="2">
        <v>51</v>
      </c>
      <c r="H17" s="2">
        <v>80</v>
      </c>
      <c r="I17" s="2">
        <f t="shared" si="0"/>
        <v>300</v>
      </c>
      <c r="J17" s="2">
        <f t="shared" si="1"/>
        <v>60</v>
      </c>
      <c r="K17" s="2">
        <f t="shared" si="2"/>
        <v>60</v>
      </c>
      <c r="L17" s="2" t="str">
        <f t="shared" si="3"/>
        <v xml:space="preserve"> PASS</v>
      </c>
    </row>
    <row r="18" spans="1:12" x14ac:dyDescent="0.35">
      <c r="A18" s="2" t="s">
        <v>44</v>
      </c>
      <c r="B18" t="s">
        <v>45</v>
      </c>
      <c r="C18" s="2" t="s">
        <v>26</v>
      </c>
      <c r="D18" s="2">
        <v>82</v>
      </c>
      <c r="E18" s="2">
        <v>97</v>
      </c>
      <c r="F18" s="2">
        <v>81</v>
      </c>
      <c r="G18" s="2">
        <v>79</v>
      </c>
      <c r="H18" s="2">
        <v>42</v>
      </c>
      <c r="I18" s="2">
        <f t="shared" si="0"/>
        <v>381</v>
      </c>
      <c r="J18" s="2">
        <f t="shared" si="1"/>
        <v>76.2</v>
      </c>
      <c r="K18" s="2">
        <f t="shared" si="2"/>
        <v>76.2</v>
      </c>
      <c r="L18" s="2" t="str">
        <f t="shared" si="3"/>
        <v xml:space="preserve"> PASS</v>
      </c>
    </row>
    <row r="19" spans="1:12" x14ac:dyDescent="0.35">
      <c r="A19" s="2" t="s">
        <v>46</v>
      </c>
      <c r="B19" t="s">
        <v>47</v>
      </c>
      <c r="C19" s="2" t="s">
        <v>13</v>
      </c>
      <c r="D19" s="2">
        <v>72</v>
      </c>
      <c r="E19" s="2">
        <v>84</v>
      </c>
      <c r="F19" s="2">
        <v>53</v>
      </c>
      <c r="G19" s="2">
        <v>48</v>
      </c>
      <c r="H19" s="2">
        <v>67</v>
      </c>
      <c r="I19" s="2">
        <f t="shared" si="0"/>
        <v>324</v>
      </c>
      <c r="J19" s="2">
        <f t="shared" si="1"/>
        <v>64.8</v>
      </c>
      <c r="K19" s="2">
        <f t="shared" si="2"/>
        <v>64.8</v>
      </c>
      <c r="L19" s="2" t="str">
        <f t="shared" si="3"/>
        <v xml:space="preserve"> PASS</v>
      </c>
    </row>
    <row r="20" spans="1:12" x14ac:dyDescent="0.35">
      <c r="A20" s="2" t="s">
        <v>48</v>
      </c>
      <c r="B20" t="s">
        <v>49</v>
      </c>
      <c r="C20" s="2" t="s">
        <v>33</v>
      </c>
      <c r="D20" s="2">
        <v>55</v>
      </c>
      <c r="E20" s="2">
        <v>97</v>
      </c>
      <c r="F20" s="2">
        <v>78</v>
      </c>
      <c r="G20" s="2">
        <v>82</v>
      </c>
      <c r="H20" s="2">
        <v>73</v>
      </c>
      <c r="I20" s="2">
        <f t="shared" si="0"/>
        <v>385</v>
      </c>
      <c r="J20" s="2">
        <f t="shared" si="1"/>
        <v>77</v>
      </c>
      <c r="K20" s="2">
        <f t="shared" si="2"/>
        <v>77</v>
      </c>
      <c r="L20" s="2" t="str">
        <f t="shared" si="3"/>
        <v xml:space="preserve"> PASS</v>
      </c>
    </row>
    <row r="21" spans="1:12" x14ac:dyDescent="0.35">
      <c r="A21" s="2" t="s">
        <v>50</v>
      </c>
      <c r="B21" t="s">
        <v>51</v>
      </c>
      <c r="C21" s="2" t="s">
        <v>13</v>
      </c>
      <c r="D21" s="2">
        <v>81</v>
      </c>
      <c r="E21" s="2">
        <v>58</v>
      </c>
      <c r="F21" s="2">
        <v>91</v>
      </c>
      <c r="G21" s="2">
        <v>87</v>
      </c>
      <c r="H21" s="2">
        <v>87</v>
      </c>
      <c r="I21" s="2">
        <f t="shared" si="0"/>
        <v>404</v>
      </c>
      <c r="J21" s="2">
        <f t="shared" si="1"/>
        <v>80.8</v>
      </c>
      <c r="K21" s="2">
        <f t="shared" si="2"/>
        <v>80.8</v>
      </c>
      <c r="L21" s="2" t="str">
        <f t="shared" si="3"/>
        <v xml:space="preserve"> PASS</v>
      </c>
    </row>
    <row r="22" spans="1:12" x14ac:dyDescent="0.35">
      <c r="A22" s="2" t="s">
        <v>52</v>
      </c>
      <c r="B22" t="s">
        <v>53</v>
      </c>
      <c r="C22" s="2" t="s">
        <v>10</v>
      </c>
      <c r="D22" s="2">
        <v>52</v>
      </c>
      <c r="E22" s="2">
        <v>90</v>
      </c>
      <c r="F22" s="2">
        <v>40</v>
      </c>
      <c r="G22" s="2">
        <v>89</v>
      </c>
      <c r="H22" s="2">
        <v>58</v>
      </c>
      <c r="I22" s="2">
        <f t="shared" si="0"/>
        <v>329</v>
      </c>
      <c r="J22" s="2">
        <f t="shared" si="1"/>
        <v>65.8</v>
      </c>
      <c r="K22" s="2">
        <f t="shared" si="2"/>
        <v>65.8</v>
      </c>
      <c r="L22" s="2" t="str">
        <f t="shared" si="3"/>
        <v xml:space="preserve"> PASS</v>
      </c>
    </row>
    <row r="23" spans="1:12" x14ac:dyDescent="0.35">
      <c r="A23" s="2" t="s">
        <v>54</v>
      </c>
      <c r="B23" t="s">
        <v>55</v>
      </c>
      <c r="C23" s="2" t="s">
        <v>33</v>
      </c>
      <c r="D23" s="2">
        <v>55</v>
      </c>
      <c r="E23" s="2">
        <v>42</v>
      </c>
      <c r="F23" s="2">
        <v>51</v>
      </c>
      <c r="G23" s="2">
        <v>96</v>
      </c>
      <c r="H23" s="2">
        <v>98</v>
      </c>
      <c r="I23" s="2">
        <f t="shared" si="0"/>
        <v>342</v>
      </c>
      <c r="J23" s="2">
        <f t="shared" si="1"/>
        <v>68.400000000000006</v>
      </c>
      <c r="K23" s="2">
        <f t="shared" si="2"/>
        <v>68.400000000000006</v>
      </c>
      <c r="L23" s="2" t="str">
        <f t="shared" si="3"/>
        <v xml:space="preserve"> PASS</v>
      </c>
    </row>
    <row r="24" spans="1:12" x14ac:dyDescent="0.35">
      <c r="A24" s="2" t="s">
        <v>56</v>
      </c>
      <c r="B24" t="s">
        <v>57</v>
      </c>
      <c r="C24" s="2" t="s">
        <v>26</v>
      </c>
      <c r="D24" s="2">
        <v>51</v>
      </c>
      <c r="E24" s="2">
        <v>79</v>
      </c>
      <c r="F24" s="2">
        <v>69</v>
      </c>
      <c r="G24" s="2">
        <v>63</v>
      </c>
      <c r="H24" s="2">
        <v>94</v>
      </c>
      <c r="I24" s="2">
        <f t="shared" si="0"/>
        <v>356</v>
      </c>
      <c r="J24" s="2">
        <f t="shared" si="1"/>
        <v>71.2</v>
      </c>
      <c r="K24" s="2">
        <f t="shared" si="2"/>
        <v>71.2</v>
      </c>
      <c r="L24" s="2" t="str">
        <f t="shared" si="3"/>
        <v xml:space="preserve"> PASS</v>
      </c>
    </row>
    <row r="25" spans="1:12" x14ac:dyDescent="0.35">
      <c r="A25" s="2" t="s">
        <v>58</v>
      </c>
      <c r="B25" t="s">
        <v>59</v>
      </c>
      <c r="C25" s="2" t="s">
        <v>33</v>
      </c>
      <c r="D25" s="2">
        <v>47</v>
      </c>
      <c r="E25" s="2">
        <v>54</v>
      </c>
      <c r="F25" s="2">
        <v>46</v>
      </c>
      <c r="G25" s="2">
        <v>53</v>
      </c>
      <c r="H25" s="2">
        <v>85</v>
      </c>
      <c r="I25" s="2">
        <f t="shared" si="0"/>
        <v>285</v>
      </c>
      <c r="J25" s="2">
        <f t="shared" si="1"/>
        <v>57</v>
      </c>
      <c r="K25" s="2">
        <f t="shared" si="2"/>
        <v>57</v>
      </c>
      <c r="L25" s="2" t="str">
        <f t="shared" si="3"/>
        <v xml:space="preserve"> PASS</v>
      </c>
    </row>
    <row r="26" spans="1:12" x14ac:dyDescent="0.35">
      <c r="A26" s="2" t="s">
        <v>60</v>
      </c>
      <c r="B26" t="s">
        <v>61</v>
      </c>
      <c r="C26" s="2" t="s">
        <v>26</v>
      </c>
      <c r="D26" s="2">
        <v>85</v>
      </c>
      <c r="E26" s="2">
        <v>75</v>
      </c>
      <c r="F26" s="2">
        <v>65</v>
      </c>
      <c r="G26" s="2">
        <v>95</v>
      </c>
      <c r="H26" s="2">
        <v>75</v>
      </c>
      <c r="I26" s="2">
        <f t="shared" si="0"/>
        <v>395</v>
      </c>
      <c r="J26" s="2">
        <f t="shared" si="1"/>
        <v>79</v>
      </c>
      <c r="K26" s="2">
        <f t="shared" si="2"/>
        <v>79</v>
      </c>
      <c r="L26" s="2" t="str">
        <f t="shared" si="3"/>
        <v xml:space="preserve"> PASS</v>
      </c>
    </row>
    <row r="27" spans="1:12" x14ac:dyDescent="0.35">
      <c r="A27" s="2" t="s">
        <v>62</v>
      </c>
      <c r="B27" t="s">
        <v>63</v>
      </c>
      <c r="C27" s="2" t="s">
        <v>33</v>
      </c>
      <c r="D27" s="2">
        <v>61</v>
      </c>
      <c r="E27" s="2">
        <v>52</v>
      </c>
      <c r="F27" s="2">
        <v>46</v>
      </c>
      <c r="G27" s="2">
        <v>70</v>
      </c>
      <c r="H27" s="2">
        <v>69</v>
      </c>
      <c r="I27" s="2">
        <f t="shared" si="0"/>
        <v>298</v>
      </c>
      <c r="J27" s="2">
        <f t="shared" si="1"/>
        <v>59.6</v>
      </c>
      <c r="K27" s="2">
        <f t="shared" si="2"/>
        <v>59.6</v>
      </c>
      <c r="L27" s="2" t="str">
        <f t="shared" si="3"/>
        <v xml:space="preserve"> PASS</v>
      </c>
    </row>
    <row r="28" spans="1:12" x14ac:dyDescent="0.35">
      <c r="A28" s="2" t="s">
        <v>64</v>
      </c>
      <c r="B28" t="s">
        <v>65</v>
      </c>
      <c r="C28" s="2" t="s">
        <v>10</v>
      </c>
      <c r="D28" s="2">
        <v>86</v>
      </c>
      <c r="E28" s="2">
        <v>41</v>
      </c>
      <c r="F28" s="2">
        <v>93</v>
      </c>
      <c r="G28" s="2">
        <v>45</v>
      </c>
      <c r="H28" s="2">
        <v>47</v>
      </c>
      <c r="I28" s="2">
        <f t="shared" si="0"/>
        <v>312</v>
      </c>
      <c r="J28" s="2">
        <f t="shared" si="1"/>
        <v>62.4</v>
      </c>
      <c r="K28" s="2">
        <f t="shared" si="2"/>
        <v>62.4</v>
      </c>
      <c r="L28" s="2" t="str">
        <f t="shared" si="3"/>
        <v xml:space="preserve"> PASS</v>
      </c>
    </row>
    <row r="29" spans="1:12" x14ac:dyDescent="0.35">
      <c r="A29" s="2" t="s">
        <v>66</v>
      </c>
      <c r="B29" t="s">
        <v>67</v>
      </c>
      <c r="C29" s="2" t="s">
        <v>13</v>
      </c>
      <c r="D29" s="2">
        <v>88</v>
      </c>
      <c r="E29" s="2">
        <v>81</v>
      </c>
      <c r="F29" s="2">
        <v>65</v>
      </c>
      <c r="G29" s="2">
        <v>76</v>
      </c>
      <c r="H29" s="2">
        <v>42</v>
      </c>
      <c r="I29" s="2">
        <f t="shared" si="0"/>
        <v>352</v>
      </c>
      <c r="J29" s="2">
        <f t="shared" si="1"/>
        <v>70.400000000000006</v>
      </c>
      <c r="K29" s="2">
        <f t="shared" si="2"/>
        <v>70.400000000000006</v>
      </c>
      <c r="L29" s="2" t="str">
        <f t="shared" si="3"/>
        <v xml:space="preserve"> PASS</v>
      </c>
    </row>
    <row r="30" spans="1:12" x14ac:dyDescent="0.35">
      <c r="A30" s="2" t="s">
        <v>68</v>
      </c>
      <c r="B30" t="s">
        <v>69</v>
      </c>
      <c r="C30" s="2" t="s">
        <v>33</v>
      </c>
      <c r="D30" s="2">
        <v>62</v>
      </c>
      <c r="E30" s="2">
        <v>76</v>
      </c>
      <c r="F30" s="2">
        <v>67</v>
      </c>
      <c r="G30" s="2">
        <v>71</v>
      </c>
      <c r="H30" s="2">
        <v>54</v>
      </c>
      <c r="I30" s="2">
        <f t="shared" si="0"/>
        <v>330</v>
      </c>
      <c r="J30" s="2">
        <f t="shared" si="1"/>
        <v>66</v>
      </c>
      <c r="K30" s="2">
        <f t="shared" si="2"/>
        <v>66</v>
      </c>
      <c r="L30" s="2" t="str">
        <f t="shared" si="3"/>
        <v xml:space="preserve"> PASS</v>
      </c>
    </row>
    <row r="31" spans="1:12" x14ac:dyDescent="0.35">
      <c r="A31" s="2" t="s">
        <v>70</v>
      </c>
      <c r="B31" t="s">
        <v>71</v>
      </c>
      <c r="C31" s="2" t="s">
        <v>10</v>
      </c>
      <c r="D31" s="2">
        <v>81</v>
      </c>
      <c r="E31" s="2">
        <v>84</v>
      </c>
      <c r="F31" s="2">
        <v>45</v>
      </c>
      <c r="G31" s="2">
        <v>81</v>
      </c>
      <c r="H31" s="2">
        <v>94</v>
      </c>
      <c r="I31" s="2">
        <f t="shared" si="0"/>
        <v>385</v>
      </c>
      <c r="J31" s="2">
        <f t="shared" si="1"/>
        <v>77</v>
      </c>
      <c r="K31" s="2">
        <f t="shared" si="2"/>
        <v>77</v>
      </c>
      <c r="L31" s="2" t="str">
        <f t="shared" si="3"/>
        <v xml:space="preserve"> PASS</v>
      </c>
    </row>
    <row r="32" spans="1:12" x14ac:dyDescent="0.35">
      <c r="A32" s="2" t="s">
        <v>72</v>
      </c>
      <c r="B32" t="s">
        <v>73</v>
      </c>
      <c r="C32" s="2" t="s">
        <v>26</v>
      </c>
      <c r="D32" s="2">
        <v>87</v>
      </c>
      <c r="E32" s="2">
        <v>79</v>
      </c>
      <c r="F32" s="2">
        <v>59</v>
      </c>
      <c r="G32" s="2">
        <v>45</v>
      </c>
      <c r="H32" s="2">
        <v>56</v>
      </c>
      <c r="I32" s="2">
        <f t="shared" si="0"/>
        <v>326</v>
      </c>
      <c r="J32" s="2">
        <f t="shared" si="1"/>
        <v>65.2</v>
      </c>
      <c r="K32" s="2">
        <f t="shared" si="2"/>
        <v>65.2</v>
      </c>
      <c r="L32" s="2" t="str">
        <f t="shared" si="3"/>
        <v xml:space="preserve"> PASS</v>
      </c>
    </row>
    <row r="33" spans="1:12" x14ac:dyDescent="0.35">
      <c r="A33" s="2" t="s">
        <v>74</v>
      </c>
      <c r="B33" t="s">
        <v>75</v>
      </c>
      <c r="C33" s="2" t="s">
        <v>33</v>
      </c>
      <c r="D33" s="2">
        <v>48</v>
      </c>
      <c r="E33" s="2">
        <v>67</v>
      </c>
      <c r="F33" s="2">
        <v>38</v>
      </c>
      <c r="G33" s="2">
        <v>99</v>
      </c>
      <c r="H33" s="2">
        <v>84</v>
      </c>
      <c r="I33" s="2">
        <f t="shared" si="0"/>
        <v>336</v>
      </c>
      <c r="J33" s="2">
        <f t="shared" si="1"/>
        <v>67.2</v>
      </c>
      <c r="K33" s="2">
        <f t="shared" si="2"/>
        <v>67.2</v>
      </c>
      <c r="L33" s="2" t="str">
        <f t="shared" si="3"/>
        <v>FAIL</v>
      </c>
    </row>
    <row r="34" spans="1:12" x14ac:dyDescent="0.35">
      <c r="A34" s="2" t="s">
        <v>76</v>
      </c>
      <c r="B34" t="s">
        <v>77</v>
      </c>
      <c r="C34" s="2" t="s">
        <v>26</v>
      </c>
      <c r="D34" s="2">
        <v>70</v>
      </c>
      <c r="E34" s="2">
        <v>86</v>
      </c>
      <c r="F34" s="2">
        <v>49</v>
      </c>
      <c r="G34" s="2">
        <v>70</v>
      </c>
      <c r="H34" s="2">
        <v>96</v>
      </c>
      <c r="I34" s="2">
        <f t="shared" ref="I34:I65" si="4">SUM(D34:H34)</f>
        <v>371</v>
      </c>
      <c r="J34" s="2">
        <f t="shared" ref="J34:J65" si="5">AVERAGE(D34:H34)</f>
        <v>74.2</v>
      </c>
      <c r="K34" s="2">
        <f t="shared" ref="K34:K65" si="6">I34/5</f>
        <v>74.2</v>
      </c>
      <c r="L34" s="2" t="str">
        <f t="shared" ref="L34:L65" si="7">IF(MIN(D34:H34)&gt;=40," PASS", "FAIL")</f>
        <v xml:space="preserve"> PASS</v>
      </c>
    </row>
    <row r="35" spans="1:12" x14ac:dyDescent="0.35">
      <c r="A35" s="2" t="s">
        <v>78</v>
      </c>
      <c r="B35" t="s">
        <v>79</v>
      </c>
      <c r="C35" s="2" t="s">
        <v>10</v>
      </c>
      <c r="D35" s="2">
        <v>93</v>
      </c>
      <c r="E35" s="2">
        <v>78</v>
      </c>
      <c r="F35" s="2">
        <v>57</v>
      </c>
      <c r="G35" s="2">
        <v>91</v>
      </c>
      <c r="H35" s="2">
        <v>78</v>
      </c>
      <c r="I35" s="2">
        <f t="shared" si="4"/>
        <v>397</v>
      </c>
      <c r="J35" s="2">
        <f t="shared" si="5"/>
        <v>79.400000000000006</v>
      </c>
      <c r="K35" s="2">
        <f t="shared" si="6"/>
        <v>79.400000000000006</v>
      </c>
      <c r="L35" s="2" t="str">
        <f t="shared" si="7"/>
        <v xml:space="preserve"> PASS</v>
      </c>
    </row>
    <row r="36" spans="1:12" x14ac:dyDescent="0.35">
      <c r="A36" s="2" t="s">
        <v>80</v>
      </c>
      <c r="B36" t="s">
        <v>81</v>
      </c>
      <c r="C36" s="2" t="s">
        <v>13</v>
      </c>
      <c r="D36" s="2">
        <v>47</v>
      </c>
      <c r="E36" s="2">
        <v>61</v>
      </c>
      <c r="F36" s="2">
        <v>86</v>
      </c>
      <c r="G36" s="2">
        <v>48</v>
      </c>
      <c r="H36" s="2">
        <v>72</v>
      </c>
      <c r="I36" s="2">
        <f t="shared" si="4"/>
        <v>314</v>
      </c>
      <c r="J36" s="2">
        <f t="shared" si="5"/>
        <v>62.8</v>
      </c>
      <c r="K36" s="2">
        <f t="shared" si="6"/>
        <v>62.8</v>
      </c>
      <c r="L36" s="2" t="str">
        <f t="shared" si="7"/>
        <v xml:space="preserve"> PASS</v>
      </c>
    </row>
    <row r="37" spans="1:12" x14ac:dyDescent="0.35">
      <c r="A37" s="2" t="s">
        <v>82</v>
      </c>
      <c r="B37" t="s">
        <v>83</v>
      </c>
      <c r="C37" s="2" t="s">
        <v>10</v>
      </c>
      <c r="D37" s="2">
        <v>76</v>
      </c>
      <c r="E37" s="2">
        <v>58</v>
      </c>
      <c r="F37" s="2">
        <v>69</v>
      </c>
      <c r="G37" s="2">
        <v>39</v>
      </c>
      <c r="H37" s="2">
        <v>45</v>
      </c>
      <c r="I37" s="2">
        <f t="shared" si="4"/>
        <v>287</v>
      </c>
      <c r="J37" s="2">
        <f t="shared" si="5"/>
        <v>57.4</v>
      </c>
      <c r="K37" s="2">
        <f t="shared" si="6"/>
        <v>57.4</v>
      </c>
      <c r="L37" s="2" t="str">
        <f t="shared" si="7"/>
        <v>FAIL</v>
      </c>
    </row>
    <row r="38" spans="1:12" x14ac:dyDescent="0.35">
      <c r="A38" s="2" t="s">
        <v>84</v>
      </c>
      <c r="B38" t="s">
        <v>85</v>
      </c>
      <c r="C38" s="2" t="s">
        <v>26</v>
      </c>
      <c r="D38" s="2">
        <v>94</v>
      </c>
      <c r="E38" s="2">
        <v>91</v>
      </c>
      <c r="F38" s="2">
        <v>89</v>
      </c>
      <c r="G38" s="2">
        <v>57</v>
      </c>
      <c r="H38" s="2">
        <v>53</v>
      </c>
      <c r="I38" s="2">
        <f t="shared" si="4"/>
        <v>384</v>
      </c>
      <c r="J38" s="2">
        <f t="shared" si="5"/>
        <v>76.8</v>
      </c>
      <c r="K38" s="2">
        <f t="shared" si="6"/>
        <v>76.8</v>
      </c>
      <c r="L38" s="2" t="str">
        <f t="shared" si="7"/>
        <v xml:space="preserve"> PASS</v>
      </c>
    </row>
    <row r="39" spans="1:12" x14ac:dyDescent="0.35">
      <c r="A39" s="2" t="s">
        <v>86</v>
      </c>
      <c r="B39" t="s">
        <v>87</v>
      </c>
      <c r="C39" s="2" t="s">
        <v>10</v>
      </c>
      <c r="D39" s="2">
        <v>53</v>
      </c>
      <c r="E39" s="2">
        <v>94</v>
      </c>
      <c r="F39" s="2">
        <v>74</v>
      </c>
      <c r="G39" s="2">
        <v>98</v>
      </c>
      <c r="H39" s="2">
        <v>43</v>
      </c>
      <c r="I39" s="2">
        <f t="shared" si="4"/>
        <v>362</v>
      </c>
      <c r="J39" s="2">
        <f t="shared" si="5"/>
        <v>72.400000000000006</v>
      </c>
      <c r="K39" s="2">
        <f t="shared" si="6"/>
        <v>72.400000000000006</v>
      </c>
      <c r="L39" s="2" t="str">
        <f t="shared" si="7"/>
        <v xml:space="preserve"> PASS</v>
      </c>
    </row>
    <row r="40" spans="1:12" x14ac:dyDescent="0.35">
      <c r="A40" s="2" t="s">
        <v>88</v>
      </c>
      <c r="B40" t="s">
        <v>89</v>
      </c>
      <c r="C40" s="2" t="s">
        <v>10</v>
      </c>
      <c r="D40" s="2">
        <v>84</v>
      </c>
      <c r="E40" s="2">
        <v>69</v>
      </c>
      <c r="F40" s="2">
        <v>90</v>
      </c>
      <c r="G40" s="2">
        <v>42</v>
      </c>
      <c r="H40" s="2">
        <v>86</v>
      </c>
      <c r="I40" s="2">
        <f t="shared" si="4"/>
        <v>371</v>
      </c>
      <c r="J40" s="2">
        <f t="shared" si="5"/>
        <v>74.2</v>
      </c>
      <c r="K40" s="2">
        <f t="shared" si="6"/>
        <v>74.2</v>
      </c>
      <c r="L40" s="2" t="str">
        <f t="shared" si="7"/>
        <v xml:space="preserve"> PASS</v>
      </c>
    </row>
    <row r="41" spans="1:12" x14ac:dyDescent="0.35">
      <c r="A41" s="2" t="s">
        <v>90</v>
      </c>
      <c r="B41" t="s">
        <v>91</v>
      </c>
      <c r="C41" s="2" t="s">
        <v>13</v>
      </c>
      <c r="D41" s="2">
        <v>46</v>
      </c>
      <c r="E41" s="2">
        <v>80</v>
      </c>
      <c r="F41" s="2">
        <v>68</v>
      </c>
      <c r="G41" s="2">
        <v>98</v>
      </c>
      <c r="H41" s="2">
        <v>73</v>
      </c>
      <c r="I41" s="2">
        <f t="shared" si="4"/>
        <v>365</v>
      </c>
      <c r="J41" s="2">
        <f t="shared" si="5"/>
        <v>73</v>
      </c>
      <c r="K41" s="2">
        <f t="shared" si="6"/>
        <v>73</v>
      </c>
      <c r="L41" s="2" t="str">
        <f t="shared" si="7"/>
        <v xml:space="preserve"> PASS</v>
      </c>
    </row>
    <row r="42" spans="1:12" x14ac:dyDescent="0.35">
      <c r="A42" s="2" t="s">
        <v>92</v>
      </c>
      <c r="B42" t="s">
        <v>93</v>
      </c>
      <c r="C42" s="2" t="s">
        <v>13</v>
      </c>
      <c r="D42" s="2">
        <v>54</v>
      </c>
      <c r="E42" s="2">
        <v>71</v>
      </c>
      <c r="F42" s="2">
        <v>93</v>
      </c>
      <c r="G42" s="2">
        <v>76</v>
      </c>
      <c r="H42" s="2">
        <v>65</v>
      </c>
      <c r="I42" s="2">
        <f t="shared" si="4"/>
        <v>359</v>
      </c>
      <c r="J42" s="2">
        <f t="shared" si="5"/>
        <v>71.8</v>
      </c>
      <c r="K42" s="2">
        <f t="shared" si="6"/>
        <v>71.8</v>
      </c>
      <c r="L42" s="2" t="str">
        <f t="shared" si="7"/>
        <v xml:space="preserve"> PASS</v>
      </c>
    </row>
    <row r="43" spans="1:12" x14ac:dyDescent="0.35">
      <c r="A43" s="2" t="s">
        <v>94</v>
      </c>
      <c r="B43" t="s">
        <v>95</v>
      </c>
      <c r="C43" s="2" t="s">
        <v>13</v>
      </c>
      <c r="D43" s="2">
        <v>97</v>
      </c>
      <c r="E43" s="2">
        <v>72</v>
      </c>
      <c r="F43" s="2">
        <v>86</v>
      </c>
      <c r="G43" s="2">
        <v>84</v>
      </c>
      <c r="H43" s="2">
        <v>82</v>
      </c>
      <c r="I43" s="2">
        <f t="shared" si="4"/>
        <v>421</v>
      </c>
      <c r="J43" s="2">
        <f t="shared" si="5"/>
        <v>84.2</v>
      </c>
      <c r="K43" s="2">
        <f t="shared" si="6"/>
        <v>84.2</v>
      </c>
      <c r="L43" s="2" t="str">
        <f t="shared" si="7"/>
        <v xml:space="preserve"> PASS</v>
      </c>
    </row>
    <row r="44" spans="1:12" x14ac:dyDescent="0.35">
      <c r="A44" s="2" t="s">
        <v>96</v>
      </c>
      <c r="B44" t="s">
        <v>97</v>
      </c>
      <c r="C44" s="2" t="s">
        <v>13</v>
      </c>
      <c r="D44" s="2">
        <v>83</v>
      </c>
      <c r="E44" s="2">
        <v>57</v>
      </c>
      <c r="F44" s="2">
        <v>63</v>
      </c>
      <c r="G44" s="2">
        <v>80</v>
      </c>
      <c r="H44" s="2">
        <v>79</v>
      </c>
      <c r="I44" s="2">
        <f t="shared" si="4"/>
        <v>362</v>
      </c>
      <c r="J44" s="2">
        <f t="shared" si="5"/>
        <v>72.400000000000006</v>
      </c>
      <c r="K44" s="2">
        <f t="shared" si="6"/>
        <v>72.400000000000006</v>
      </c>
      <c r="L44" s="2" t="str">
        <f t="shared" si="7"/>
        <v xml:space="preserve"> PASS</v>
      </c>
    </row>
    <row r="45" spans="1:12" x14ac:dyDescent="0.35">
      <c r="A45" s="2" t="s">
        <v>98</v>
      </c>
      <c r="B45" t="s">
        <v>99</v>
      </c>
      <c r="C45" s="2" t="s">
        <v>26</v>
      </c>
      <c r="D45" s="2">
        <v>66</v>
      </c>
      <c r="E45" s="2">
        <v>95</v>
      </c>
      <c r="F45" s="2">
        <v>71</v>
      </c>
      <c r="G45" s="2">
        <v>66</v>
      </c>
      <c r="H45" s="2">
        <v>45</v>
      </c>
      <c r="I45" s="2">
        <f t="shared" si="4"/>
        <v>343</v>
      </c>
      <c r="J45" s="2">
        <f t="shared" si="5"/>
        <v>68.599999999999994</v>
      </c>
      <c r="K45" s="2">
        <f t="shared" si="6"/>
        <v>68.599999999999994</v>
      </c>
      <c r="L45" s="2" t="str">
        <f t="shared" si="7"/>
        <v xml:space="preserve"> PASS</v>
      </c>
    </row>
    <row r="46" spans="1:12" x14ac:dyDescent="0.35">
      <c r="A46" s="2" t="s">
        <v>100</v>
      </c>
      <c r="B46" t="s">
        <v>101</v>
      </c>
      <c r="C46" s="2" t="s">
        <v>13</v>
      </c>
      <c r="D46" s="2">
        <v>52</v>
      </c>
      <c r="E46" s="2">
        <v>42</v>
      </c>
      <c r="F46" s="2">
        <v>59</v>
      </c>
      <c r="G46" s="2">
        <v>39</v>
      </c>
      <c r="H46" s="2">
        <v>75</v>
      </c>
      <c r="I46" s="2">
        <f t="shared" si="4"/>
        <v>267</v>
      </c>
      <c r="J46" s="2">
        <f t="shared" si="5"/>
        <v>53.4</v>
      </c>
      <c r="K46" s="2">
        <f t="shared" si="6"/>
        <v>53.4</v>
      </c>
      <c r="L46" s="2" t="str">
        <f t="shared" si="7"/>
        <v>FAIL</v>
      </c>
    </row>
    <row r="47" spans="1:12" x14ac:dyDescent="0.35">
      <c r="A47" s="2" t="s">
        <v>102</v>
      </c>
      <c r="B47" t="s">
        <v>103</v>
      </c>
      <c r="C47" s="2" t="s">
        <v>13</v>
      </c>
      <c r="D47" s="2">
        <v>75</v>
      </c>
      <c r="E47" s="2">
        <v>52</v>
      </c>
      <c r="F47" s="2">
        <v>38</v>
      </c>
      <c r="G47" s="2">
        <v>42</v>
      </c>
      <c r="H47" s="2">
        <v>83</v>
      </c>
      <c r="I47" s="2">
        <f t="shared" si="4"/>
        <v>290</v>
      </c>
      <c r="J47" s="2">
        <f t="shared" si="5"/>
        <v>58</v>
      </c>
      <c r="K47" s="2">
        <f t="shared" si="6"/>
        <v>58</v>
      </c>
      <c r="L47" s="2" t="str">
        <f t="shared" si="7"/>
        <v>FAIL</v>
      </c>
    </row>
    <row r="48" spans="1:12" x14ac:dyDescent="0.35">
      <c r="A48" s="2" t="s">
        <v>104</v>
      </c>
      <c r="B48" t="s">
        <v>105</v>
      </c>
      <c r="C48" s="2" t="s">
        <v>10</v>
      </c>
      <c r="D48" s="2">
        <v>52</v>
      </c>
      <c r="E48" s="2">
        <v>42</v>
      </c>
      <c r="F48" s="2">
        <v>95</v>
      </c>
      <c r="G48" s="2">
        <v>40</v>
      </c>
      <c r="H48" s="2">
        <v>93</v>
      </c>
      <c r="I48" s="2">
        <f t="shared" si="4"/>
        <v>322</v>
      </c>
      <c r="J48" s="2">
        <f t="shared" si="5"/>
        <v>64.400000000000006</v>
      </c>
      <c r="K48" s="2">
        <f t="shared" si="6"/>
        <v>64.400000000000006</v>
      </c>
      <c r="L48" s="2" t="str">
        <f t="shared" si="7"/>
        <v xml:space="preserve"> PASS</v>
      </c>
    </row>
    <row r="49" spans="1:12" x14ac:dyDescent="0.35">
      <c r="A49" s="2" t="s">
        <v>106</v>
      </c>
      <c r="B49" t="s">
        <v>107</v>
      </c>
      <c r="C49" s="2" t="s">
        <v>26</v>
      </c>
      <c r="D49" s="2">
        <v>42</v>
      </c>
      <c r="E49" s="2">
        <v>70</v>
      </c>
      <c r="F49" s="2">
        <v>53</v>
      </c>
      <c r="G49" s="2">
        <v>55</v>
      </c>
      <c r="H49" s="2">
        <v>80</v>
      </c>
      <c r="I49" s="2">
        <f t="shared" si="4"/>
        <v>300</v>
      </c>
      <c r="J49" s="2">
        <f t="shared" si="5"/>
        <v>60</v>
      </c>
      <c r="K49" s="2">
        <f t="shared" si="6"/>
        <v>60</v>
      </c>
      <c r="L49" s="2" t="str">
        <f t="shared" si="7"/>
        <v xml:space="preserve"> PASS</v>
      </c>
    </row>
    <row r="50" spans="1:12" x14ac:dyDescent="0.35">
      <c r="A50" s="2" t="s">
        <v>108</v>
      </c>
      <c r="B50" t="s">
        <v>109</v>
      </c>
      <c r="C50" s="2" t="s">
        <v>33</v>
      </c>
      <c r="D50" s="2">
        <v>51</v>
      </c>
      <c r="E50" s="2">
        <v>72</v>
      </c>
      <c r="F50" s="2">
        <v>46</v>
      </c>
      <c r="G50" s="2">
        <v>84</v>
      </c>
      <c r="H50" s="2">
        <v>97</v>
      </c>
      <c r="I50" s="2">
        <f t="shared" si="4"/>
        <v>350</v>
      </c>
      <c r="J50" s="2">
        <f t="shared" si="5"/>
        <v>70</v>
      </c>
      <c r="K50" s="2">
        <f t="shared" si="6"/>
        <v>70</v>
      </c>
      <c r="L50" s="2" t="str">
        <f t="shared" si="7"/>
        <v xml:space="preserve"> PASS</v>
      </c>
    </row>
    <row r="51" spans="1:12" x14ac:dyDescent="0.35">
      <c r="A51" s="2" t="s">
        <v>110</v>
      </c>
      <c r="B51" t="s">
        <v>111</v>
      </c>
      <c r="C51" s="2" t="s">
        <v>33</v>
      </c>
      <c r="D51" s="2">
        <v>53</v>
      </c>
      <c r="E51" s="2">
        <v>88</v>
      </c>
      <c r="F51" s="2">
        <v>68</v>
      </c>
      <c r="G51" s="2">
        <v>89</v>
      </c>
      <c r="H51" s="2">
        <v>64</v>
      </c>
      <c r="I51" s="2">
        <f t="shared" si="4"/>
        <v>362</v>
      </c>
      <c r="J51" s="2">
        <f t="shared" si="5"/>
        <v>72.400000000000006</v>
      </c>
      <c r="K51" s="2">
        <f t="shared" si="6"/>
        <v>72.400000000000006</v>
      </c>
      <c r="L51" s="2" t="str">
        <f t="shared" si="7"/>
        <v xml:space="preserve"> PASS</v>
      </c>
    </row>
    <row r="52" spans="1:12" x14ac:dyDescent="0.35">
      <c r="A52" s="2" t="s">
        <v>112</v>
      </c>
      <c r="B52" t="s">
        <v>113</v>
      </c>
      <c r="C52" s="2" t="s">
        <v>13</v>
      </c>
      <c r="D52" s="2">
        <v>44</v>
      </c>
      <c r="E52" s="2">
        <v>44</v>
      </c>
      <c r="F52" s="2">
        <v>80</v>
      </c>
      <c r="G52" s="2">
        <v>65</v>
      </c>
      <c r="H52" s="2">
        <v>60</v>
      </c>
      <c r="I52" s="2">
        <f t="shared" si="4"/>
        <v>293</v>
      </c>
      <c r="J52" s="2">
        <f t="shared" si="5"/>
        <v>58.6</v>
      </c>
      <c r="K52" s="2">
        <f t="shared" si="6"/>
        <v>58.6</v>
      </c>
      <c r="L52" s="2" t="str">
        <f t="shared" si="7"/>
        <v xml:space="preserve"> PASS</v>
      </c>
    </row>
    <row r="53" spans="1:12" x14ac:dyDescent="0.35">
      <c r="A53" s="2" t="s">
        <v>114</v>
      </c>
      <c r="B53" t="s">
        <v>115</v>
      </c>
      <c r="C53" s="2" t="s">
        <v>33</v>
      </c>
      <c r="D53" s="2">
        <v>64</v>
      </c>
      <c r="E53" s="2">
        <v>67</v>
      </c>
      <c r="F53" s="2">
        <v>93</v>
      </c>
      <c r="G53" s="2">
        <v>84</v>
      </c>
      <c r="H53" s="2">
        <v>41</v>
      </c>
      <c r="I53" s="2">
        <f t="shared" si="4"/>
        <v>349</v>
      </c>
      <c r="J53" s="2">
        <f t="shared" si="5"/>
        <v>69.8</v>
      </c>
      <c r="K53" s="2">
        <f t="shared" si="6"/>
        <v>69.8</v>
      </c>
      <c r="L53" s="2" t="str">
        <f t="shared" si="7"/>
        <v xml:space="preserve"> PASS</v>
      </c>
    </row>
    <row r="54" spans="1:12" x14ac:dyDescent="0.35">
      <c r="A54" s="2" t="s">
        <v>116</v>
      </c>
      <c r="B54" t="s">
        <v>117</v>
      </c>
      <c r="C54" s="2" t="s">
        <v>10</v>
      </c>
      <c r="D54" s="2">
        <v>41</v>
      </c>
      <c r="E54" s="2">
        <v>63</v>
      </c>
      <c r="F54" s="2">
        <v>84</v>
      </c>
      <c r="G54" s="2">
        <v>59</v>
      </c>
      <c r="H54" s="2">
        <v>89</v>
      </c>
      <c r="I54" s="2">
        <f t="shared" si="4"/>
        <v>336</v>
      </c>
      <c r="J54" s="2">
        <f t="shared" si="5"/>
        <v>67.2</v>
      </c>
      <c r="K54" s="2">
        <f t="shared" si="6"/>
        <v>67.2</v>
      </c>
      <c r="L54" s="2" t="str">
        <f t="shared" si="7"/>
        <v xml:space="preserve"> PASS</v>
      </c>
    </row>
    <row r="55" spans="1:12" x14ac:dyDescent="0.35">
      <c r="A55" s="2" t="s">
        <v>118</v>
      </c>
      <c r="B55" t="s">
        <v>119</v>
      </c>
      <c r="C55" s="2" t="s">
        <v>10</v>
      </c>
      <c r="D55" s="2">
        <v>53</v>
      </c>
      <c r="E55" s="2">
        <v>50</v>
      </c>
      <c r="F55" s="2">
        <v>50</v>
      </c>
      <c r="G55" s="2">
        <v>72</v>
      </c>
      <c r="H55" s="2">
        <v>66</v>
      </c>
      <c r="I55" s="2">
        <f t="shared" si="4"/>
        <v>291</v>
      </c>
      <c r="J55" s="2">
        <f t="shared" si="5"/>
        <v>58.2</v>
      </c>
      <c r="K55" s="2">
        <f t="shared" si="6"/>
        <v>58.2</v>
      </c>
      <c r="L55" s="2" t="str">
        <f t="shared" si="7"/>
        <v xml:space="preserve"> PASS</v>
      </c>
    </row>
    <row r="56" spans="1:12" x14ac:dyDescent="0.35">
      <c r="A56" s="2" t="s">
        <v>120</v>
      </c>
      <c r="B56" t="s">
        <v>121</v>
      </c>
      <c r="C56" s="2" t="s">
        <v>13</v>
      </c>
      <c r="D56" s="2">
        <v>65</v>
      </c>
      <c r="E56" s="2">
        <v>49</v>
      </c>
      <c r="F56" s="2">
        <v>55</v>
      </c>
      <c r="G56" s="2">
        <v>67</v>
      </c>
      <c r="H56" s="2">
        <v>53</v>
      </c>
      <c r="I56" s="2">
        <f t="shared" si="4"/>
        <v>289</v>
      </c>
      <c r="J56" s="2">
        <f t="shared" si="5"/>
        <v>57.8</v>
      </c>
      <c r="K56" s="2">
        <f t="shared" si="6"/>
        <v>57.8</v>
      </c>
      <c r="L56" s="2" t="str">
        <f t="shared" si="7"/>
        <v xml:space="preserve"> PASS</v>
      </c>
    </row>
    <row r="57" spans="1:12" x14ac:dyDescent="0.35">
      <c r="A57" s="2" t="s">
        <v>122</v>
      </c>
      <c r="B57" t="s">
        <v>123</v>
      </c>
      <c r="C57" s="2" t="s">
        <v>10</v>
      </c>
      <c r="D57" s="2">
        <v>66</v>
      </c>
      <c r="E57" s="2">
        <v>89</v>
      </c>
      <c r="F57" s="2">
        <v>93</v>
      </c>
      <c r="G57" s="2">
        <v>92</v>
      </c>
      <c r="H57" s="2">
        <v>73</v>
      </c>
      <c r="I57" s="2">
        <f t="shared" si="4"/>
        <v>413</v>
      </c>
      <c r="J57" s="2">
        <f t="shared" si="5"/>
        <v>82.6</v>
      </c>
      <c r="K57" s="2">
        <f t="shared" si="6"/>
        <v>82.6</v>
      </c>
      <c r="L57" s="2" t="str">
        <f t="shared" si="7"/>
        <v xml:space="preserve"> PASS</v>
      </c>
    </row>
    <row r="58" spans="1:12" x14ac:dyDescent="0.35">
      <c r="A58" s="2" t="s">
        <v>124</v>
      </c>
      <c r="B58" t="s">
        <v>125</v>
      </c>
      <c r="C58" s="2" t="s">
        <v>10</v>
      </c>
      <c r="D58" s="2">
        <v>41</v>
      </c>
      <c r="E58" s="2">
        <v>79</v>
      </c>
      <c r="F58" s="2">
        <v>72</v>
      </c>
      <c r="G58" s="2">
        <v>91</v>
      </c>
      <c r="H58" s="2">
        <v>38</v>
      </c>
      <c r="I58" s="2">
        <f t="shared" si="4"/>
        <v>321</v>
      </c>
      <c r="J58" s="2">
        <f t="shared" si="5"/>
        <v>64.2</v>
      </c>
      <c r="K58" s="2">
        <f t="shared" si="6"/>
        <v>64.2</v>
      </c>
      <c r="L58" s="2" t="str">
        <f t="shared" si="7"/>
        <v>FAIL</v>
      </c>
    </row>
    <row r="59" spans="1:12" x14ac:dyDescent="0.35">
      <c r="A59" s="2" t="s">
        <v>126</v>
      </c>
      <c r="B59" t="s">
        <v>127</v>
      </c>
      <c r="C59" s="2" t="s">
        <v>10</v>
      </c>
      <c r="D59" s="2">
        <v>97</v>
      </c>
      <c r="E59" s="2">
        <v>86</v>
      </c>
      <c r="F59" s="2">
        <v>92</v>
      </c>
      <c r="G59" s="2">
        <v>53</v>
      </c>
      <c r="H59" s="2">
        <v>48</v>
      </c>
      <c r="I59" s="2">
        <f t="shared" si="4"/>
        <v>376</v>
      </c>
      <c r="J59" s="2">
        <f t="shared" si="5"/>
        <v>75.2</v>
      </c>
      <c r="K59" s="2">
        <f t="shared" si="6"/>
        <v>75.2</v>
      </c>
      <c r="L59" s="2" t="str">
        <f t="shared" si="7"/>
        <v xml:space="preserve"> PASS</v>
      </c>
    </row>
    <row r="60" spans="1:12" x14ac:dyDescent="0.35">
      <c r="A60" s="2" t="s">
        <v>128</v>
      </c>
      <c r="B60" t="s">
        <v>129</v>
      </c>
      <c r="C60" s="2" t="s">
        <v>33</v>
      </c>
      <c r="D60" s="2">
        <v>69</v>
      </c>
      <c r="E60" s="2">
        <v>68</v>
      </c>
      <c r="F60" s="2">
        <v>51</v>
      </c>
      <c r="G60" s="2">
        <v>93</v>
      </c>
      <c r="H60" s="2">
        <v>63</v>
      </c>
      <c r="I60" s="2">
        <f t="shared" si="4"/>
        <v>344</v>
      </c>
      <c r="J60" s="2">
        <f t="shared" si="5"/>
        <v>68.8</v>
      </c>
      <c r="K60" s="2">
        <f t="shared" si="6"/>
        <v>68.8</v>
      </c>
      <c r="L60" s="2" t="str">
        <f t="shared" si="7"/>
        <v xml:space="preserve"> PASS</v>
      </c>
    </row>
    <row r="61" spans="1:12" x14ac:dyDescent="0.35">
      <c r="A61" s="2" t="s">
        <v>130</v>
      </c>
      <c r="B61" t="s">
        <v>131</v>
      </c>
      <c r="C61" s="2" t="s">
        <v>10</v>
      </c>
      <c r="D61" s="2">
        <v>48</v>
      </c>
      <c r="E61" s="2">
        <v>62</v>
      </c>
      <c r="F61" s="2">
        <v>38</v>
      </c>
      <c r="G61" s="2">
        <v>62</v>
      </c>
      <c r="H61" s="2">
        <v>54</v>
      </c>
      <c r="I61" s="2">
        <f t="shared" si="4"/>
        <v>264</v>
      </c>
      <c r="J61" s="2">
        <f t="shared" si="5"/>
        <v>52.8</v>
      </c>
      <c r="K61" s="2">
        <f t="shared" si="6"/>
        <v>52.8</v>
      </c>
      <c r="L61" s="2" t="str">
        <f t="shared" si="7"/>
        <v>FAIL</v>
      </c>
    </row>
    <row r="62" spans="1:12" x14ac:dyDescent="0.35">
      <c r="A62" s="2" t="s">
        <v>132</v>
      </c>
      <c r="B62" t="s">
        <v>133</v>
      </c>
      <c r="C62" s="2" t="s">
        <v>33</v>
      </c>
      <c r="D62" s="2">
        <v>56</v>
      </c>
      <c r="E62" s="2">
        <v>65</v>
      </c>
      <c r="F62" s="2">
        <v>82</v>
      </c>
      <c r="G62" s="2">
        <v>99</v>
      </c>
      <c r="H62" s="2">
        <v>84</v>
      </c>
      <c r="I62" s="2">
        <f t="shared" si="4"/>
        <v>386</v>
      </c>
      <c r="J62" s="2">
        <f t="shared" si="5"/>
        <v>77.2</v>
      </c>
      <c r="K62" s="2">
        <f t="shared" si="6"/>
        <v>77.2</v>
      </c>
      <c r="L62" s="2" t="str">
        <f t="shared" si="7"/>
        <v xml:space="preserve"> PASS</v>
      </c>
    </row>
    <row r="63" spans="1:12" x14ac:dyDescent="0.35">
      <c r="A63" s="2" t="s">
        <v>134</v>
      </c>
      <c r="B63" t="s">
        <v>135</v>
      </c>
      <c r="C63" s="2" t="s">
        <v>33</v>
      </c>
      <c r="D63" s="2">
        <v>47</v>
      </c>
      <c r="E63" s="2">
        <v>50</v>
      </c>
      <c r="F63" s="2">
        <v>56</v>
      </c>
      <c r="G63" s="2">
        <v>51</v>
      </c>
      <c r="H63" s="2">
        <v>99</v>
      </c>
      <c r="I63" s="2">
        <f t="shared" si="4"/>
        <v>303</v>
      </c>
      <c r="J63" s="2">
        <f t="shared" si="5"/>
        <v>60.6</v>
      </c>
      <c r="K63" s="2">
        <f t="shared" si="6"/>
        <v>60.6</v>
      </c>
      <c r="L63" s="2" t="str">
        <f t="shared" si="7"/>
        <v xml:space="preserve"> PASS</v>
      </c>
    </row>
    <row r="64" spans="1:12" x14ac:dyDescent="0.35">
      <c r="A64" s="2" t="s">
        <v>136</v>
      </c>
      <c r="B64" t="s">
        <v>137</v>
      </c>
      <c r="C64" s="2" t="s">
        <v>10</v>
      </c>
      <c r="D64" s="2">
        <v>75</v>
      </c>
      <c r="E64" s="2">
        <v>85</v>
      </c>
      <c r="F64" s="2">
        <v>72</v>
      </c>
      <c r="G64" s="2">
        <v>41</v>
      </c>
      <c r="H64" s="2">
        <v>85</v>
      </c>
      <c r="I64" s="2">
        <f t="shared" si="4"/>
        <v>358</v>
      </c>
      <c r="J64" s="2">
        <f t="shared" si="5"/>
        <v>71.599999999999994</v>
      </c>
      <c r="K64" s="2">
        <f t="shared" si="6"/>
        <v>71.599999999999994</v>
      </c>
      <c r="L64" s="2" t="str">
        <f t="shared" si="7"/>
        <v xml:space="preserve"> PASS</v>
      </c>
    </row>
    <row r="65" spans="1:12" x14ac:dyDescent="0.35">
      <c r="A65" s="2" t="s">
        <v>138</v>
      </c>
      <c r="B65" t="s">
        <v>139</v>
      </c>
      <c r="C65" s="2" t="s">
        <v>26</v>
      </c>
      <c r="D65" s="2">
        <v>41</v>
      </c>
      <c r="E65" s="2">
        <v>41</v>
      </c>
      <c r="F65" s="2">
        <v>75</v>
      </c>
      <c r="G65" s="2">
        <v>68</v>
      </c>
      <c r="H65" s="2">
        <v>70</v>
      </c>
      <c r="I65" s="2">
        <f t="shared" si="4"/>
        <v>295</v>
      </c>
      <c r="J65" s="2">
        <f t="shared" si="5"/>
        <v>59</v>
      </c>
      <c r="K65" s="2">
        <f t="shared" si="6"/>
        <v>59</v>
      </c>
      <c r="L65" s="2" t="str">
        <f t="shared" si="7"/>
        <v xml:space="preserve"> PASS</v>
      </c>
    </row>
    <row r="66" spans="1:12" x14ac:dyDescent="0.35">
      <c r="A66" s="2" t="s">
        <v>140</v>
      </c>
      <c r="B66" t="s">
        <v>141</v>
      </c>
      <c r="C66" s="2" t="s">
        <v>13</v>
      </c>
      <c r="D66" s="2">
        <v>41</v>
      </c>
      <c r="E66" s="2">
        <v>99</v>
      </c>
      <c r="F66" s="2">
        <v>70</v>
      </c>
      <c r="G66" s="2">
        <v>43</v>
      </c>
      <c r="H66" s="2">
        <v>92</v>
      </c>
      <c r="I66" s="2">
        <f t="shared" ref="I66:I97" si="8">SUM(D66:H66)</f>
        <v>345</v>
      </c>
      <c r="J66" s="2">
        <f t="shared" ref="J66:J101" si="9">AVERAGE(D66:H66)</f>
        <v>69</v>
      </c>
      <c r="K66" s="2">
        <f t="shared" ref="K66:K101" si="10">I66/5</f>
        <v>69</v>
      </c>
      <c r="L66" s="2" t="str">
        <f t="shared" ref="L66:L101" si="11">IF(MIN(D66:H66)&gt;=40," PASS", "FAIL")</f>
        <v xml:space="preserve"> PASS</v>
      </c>
    </row>
    <row r="67" spans="1:12" x14ac:dyDescent="0.35">
      <c r="A67" s="2" t="s">
        <v>142</v>
      </c>
      <c r="B67" t="s">
        <v>143</v>
      </c>
      <c r="C67" s="2" t="s">
        <v>13</v>
      </c>
      <c r="D67" s="2">
        <v>42</v>
      </c>
      <c r="E67" s="2">
        <v>76</v>
      </c>
      <c r="F67" s="2">
        <v>42</v>
      </c>
      <c r="G67" s="2">
        <v>81</v>
      </c>
      <c r="H67" s="2">
        <v>93</v>
      </c>
      <c r="I67" s="2">
        <f t="shared" si="8"/>
        <v>334</v>
      </c>
      <c r="J67" s="2">
        <f t="shared" si="9"/>
        <v>66.8</v>
      </c>
      <c r="K67" s="2">
        <f t="shared" si="10"/>
        <v>66.8</v>
      </c>
      <c r="L67" s="2" t="str">
        <f t="shared" si="11"/>
        <v xml:space="preserve"> PASS</v>
      </c>
    </row>
    <row r="68" spans="1:12" x14ac:dyDescent="0.35">
      <c r="A68" s="2" t="s">
        <v>144</v>
      </c>
      <c r="B68" t="s">
        <v>145</v>
      </c>
      <c r="C68" s="2" t="s">
        <v>13</v>
      </c>
      <c r="D68" s="2">
        <v>63</v>
      </c>
      <c r="E68" s="2">
        <v>45</v>
      </c>
      <c r="F68" s="2">
        <v>98</v>
      </c>
      <c r="G68" s="2">
        <v>94</v>
      </c>
      <c r="H68" s="2">
        <v>74</v>
      </c>
      <c r="I68" s="2">
        <f t="shared" si="8"/>
        <v>374</v>
      </c>
      <c r="J68" s="2">
        <f t="shared" si="9"/>
        <v>74.8</v>
      </c>
      <c r="K68" s="2">
        <f t="shared" si="10"/>
        <v>74.8</v>
      </c>
      <c r="L68" s="2" t="str">
        <f t="shared" si="11"/>
        <v xml:space="preserve"> PASS</v>
      </c>
    </row>
    <row r="69" spans="1:12" x14ac:dyDescent="0.35">
      <c r="A69" s="2" t="s">
        <v>146</v>
      </c>
      <c r="B69" t="s">
        <v>147</v>
      </c>
      <c r="C69" s="2" t="s">
        <v>13</v>
      </c>
      <c r="D69" s="2">
        <v>75</v>
      </c>
      <c r="E69" s="2">
        <v>76</v>
      </c>
      <c r="F69" s="2">
        <v>40</v>
      </c>
      <c r="G69" s="2">
        <v>77</v>
      </c>
      <c r="H69" s="2">
        <v>43</v>
      </c>
      <c r="I69" s="2">
        <f t="shared" si="8"/>
        <v>311</v>
      </c>
      <c r="J69" s="2">
        <f t="shared" si="9"/>
        <v>62.2</v>
      </c>
      <c r="K69" s="2">
        <f t="shared" si="10"/>
        <v>62.2</v>
      </c>
      <c r="L69" s="2" t="str">
        <f t="shared" si="11"/>
        <v xml:space="preserve"> PASS</v>
      </c>
    </row>
    <row r="70" spans="1:12" x14ac:dyDescent="0.35">
      <c r="A70" s="2" t="s">
        <v>148</v>
      </c>
      <c r="B70" t="s">
        <v>149</v>
      </c>
      <c r="C70" s="2" t="s">
        <v>33</v>
      </c>
      <c r="D70" s="2">
        <v>80</v>
      </c>
      <c r="E70" s="2">
        <v>75</v>
      </c>
      <c r="F70" s="2">
        <v>74</v>
      </c>
      <c r="G70" s="2">
        <v>71</v>
      </c>
      <c r="H70" s="2">
        <v>58</v>
      </c>
      <c r="I70" s="2">
        <f t="shared" si="8"/>
        <v>358</v>
      </c>
      <c r="J70" s="2">
        <f t="shared" si="9"/>
        <v>71.599999999999994</v>
      </c>
      <c r="K70" s="2">
        <f t="shared" si="10"/>
        <v>71.599999999999994</v>
      </c>
      <c r="L70" s="2" t="str">
        <f t="shared" si="11"/>
        <v xml:space="preserve"> PASS</v>
      </c>
    </row>
    <row r="71" spans="1:12" x14ac:dyDescent="0.35">
      <c r="A71" s="2" t="s">
        <v>150</v>
      </c>
      <c r="B71" t="s">
        <v>151</v>
      </c>
      <c r="C71" s="2" t="s">
        <v>26</v>
      </c>
      <c r="D71" s="2">
        <v>51</v>
      </c>
      <c r="E71" s="2">
        <v>80</v>
      </c>
      <c r="F71" s="2">
        <v>83</v>
      </c>
      <c r="G71" s="2">
        <v>58</v>
      </c>
      <c r="H71" s="2">
        <v>53</v>
      </c>
      <c r="I71" s="2">
        <f t="shared" si="8"/>
        <v>325</v>
      </c>
      <c r="J71" s="2">
        <f t="shared" si="9"/>
        <v>65</v>
      </c>
      <c r="K71" s="2">
        <f t="shared" si="10"/>
        <v>65</v>
      </c>
      <c r="L71" s="2" t="str">
        <f t="shared" si="11"/>
        <v xml:space="preserve"> PASS</v>
      </c>
    </row>
    <row r="72" spans="1:12" x14ac:dyDescent="0.35">
      <c r="A72" s="2" t="s">
        <v>152</v>
      </c>
      <c r="B72" t="s">
        <v>153</v>
      </c>
      <c r="C72" s="2" t="s">
        <v>26</v>
      </c>
      <c r="D72" s="2">
        <v>63</v>
      </c>
      <c r="E72" s="2">
        <v>46</v>
      </c>
      <c r="F72" s="2">
        <v>80</v>
      </c>
      <c r="G72" s="2">
        <v>79</v>
      </c>
      <c r="H72" s="2">
        <v>57</v>
      </c>
      <c r="I72" s="2">
        <f t="shared" si="8"/>
        <v>325</v>
      </c>
      <c r="J72" s="2">
        <f t="shared" si="9"/>
        <v>65</v>
      </c>
      <c r="K72" s="2">
        <f t="shared" si="10"/>
        <v>65</v>
      </c>
      <c r="L72" s="2" t="str">
        <f t="shared" si="11"/>
        <v xml:space="preserve"> PASS</v>
      </c>
    </row>
    <row r="73" spans="1:12" x14ac:dyDescent="0.35">
      <c r="A73" s="2" t="s">
        <v>154</v>
      </c>
      <c r="B73" t="s">
        <v>155</v>
      </c>
      <c r="C73" s="2" t="s">
        <v>33</v>
      </c>
      <c r="D73" s="2">
        <v>58</v>
      </c>
      <c r="E73" s="2">
        <v>97</v>
      </c>
      <c r="F73" s="2">
        <v>86</v>
      </c>
      <c r="G73" s="2">
        <v>97</v>
      </c>
      <c r="H73" s="2">
        <v>42</v>
      </c>
      <c r="I73" s="2">
        <f t="shared" si="8"/>
        <v>380</v>
      </c>
      <c r="J73" s="2">
        <f t="shared" si="9"/>
        <v>76</v>
      </c>
      <c r="K73" s="2">
        <f t="shared" si="10"/>
        <v>76</v>
      </c>
      <c r="L73" s="2" t="str">
        <f t="shared" si="11"/>
        <v xml:space="preserve"> PASS</v>
      </c>
    </row>
    <row r="74" spans="1:12" x14ac:dyDescent="0.35">
      <c r="A74" s="2" t="s">
        <v>156</v>
      </c>
      <c r="B74" t="s">
        <v>157</v>
      </c>
      <c r="C74" s="2" t="s">
        <v>10</v>
      </c>
      <c r="D74" s="2">
        <v>67</v>
      </c>
      <c r="E74" s="2">
        <v>77</v>
      </c>
      <c r="F74" s="2">
        <v>74</v>
      </c>
      <c r="G74" s="2">
        <v>44</v>
      </c>
      <c r="H74" s="2">
        <v>42</v>
      </c>
      <c r="I74" s="2">
        <f t="shared" si="8"/>
        <v>304</v>
      </c>
      <c r="J74" s="2">
        <f t="shared" si="9"/>
        <v>60.8</v>
      </c>
      <c r="K74" s="2">
        <f t="shared" si="10"/>
        <v>60.8</v>
      </c>
      <c r="L74" s="2" t="str">
        <f t="shared" si="11"/>
        <v xml:space="preserve"> PASS</v>
      </c>
    </row>
    <row r="75" spans="1:12" x14ac:dyDescent="0.35">
      <c r="A75" s="2" t="s">
        <v>158</v>
      </c>
      <c r="B75" t="s">
        <v>159</v>
      </c>
      <c r="C75" s="2" t="s">
        <v>13</v>
      </c>
      <c r="D75" s="2">
        <v>70</v>
      </c>
      <c r="E75" s="2">
        <v>54</v>
      </c>
      <c r="F75" s="2">
        <v>46</v>
      </c>
      <c r="G75" s="2">
        <v>97</v>
      </c>
      <c r="H75" s="2">
        <v>60</v>
      </c>
      <c r="I75" s="2">
        <f t="shared" si="8"/>
        <v>327</v>
      </c>
      <c r="J75" s="2">
        <f t="shared" si="9"/>
        <v>65.400000000000006</v>
      </c>
      <c r="K75" s="2">
        <f t="shared" si="10"/>
        <v>65.400000000000006</v>
      </c>
      <c r="L75" s="2" t="str">
        <f t="shared" si="11"/>
        <v xml:space="preserve"> PASS</v>
      </c>
    </row>
    <row r="76" spans="1:12" x14ac:dyDescent="0.35">
      <c r="A76" s="2" t="s">
        <v>160</v>
      </c>
      <c r="B76" t="s">
        <v>161</v>
      </c>
      <c r="C76" s="2" t="s">
        <v>10</v>
      </c>
      <c r="D76" s="2">
        <v>94</v>
      </c>
      <c r="E76" s="2">
        <v>53</v>
      </c>
      <c r="F76" s="2">
        <v>61</v>
      </c>
      <c r="G76" s="2">
        <v>56</v>
      </c>
      <c r="H76" s="2">
        <v>48</v>
      </c>
      <c r="I76" s="2">
        <f t="shared" si="8"/>
        <v>312</v>
      </c>
      <c r="J76" s="2">
        <f t="shared" si="9"/>
        <v>62.4</v>
      </c>
      <c r="K76" s="2">
        <f t="shared" si="10"/>
        <v>62.4</v>
      </c>
      <c r="L76" s="2" t="str">
        <f t="shared" si="11"/>
        <v xml:space="preserve"> PASS</v>
      </c>
    </row>
    <row r="77" spans="1:12" x14ac:dyDescent="0.35">
      <c r="A77" s="2" t="s">
        <v>162</v>
      </c>
      <c r="B77" t="s">
        <v>163</v>
      </c>
      <c r="C77" s="2" t="s">
        <v>33</v>
      </c>
      <c r="D77" s="2">
        <v>91</v>
      </c>
      <c r="E77" s="2">
        <v>72</v>
      </c>
      <c r="F77" s="2">
        <v>83</v>
      </c>
      <c r="G77" s="2">
        <v>57</v>
      </c>
      <c r="H77" s="2">
        <v>77</v>
      </c>
      <c r="I77" s="2">
        <f t="shared" si="8"/>
        <v>380</v>
      </c>
      <c r="J77" s="2">
        <f t="shared" si="9"/>
        <v>76</v>
      </c>
      <c r="K77" s="2">
        <f t="shared" si="10"/>
        <v>76</v>
      </c>
      <c r="L77" s="2" t="str">
        <f t="shared" si="11"/>
        <v xml:space="preserve"> PASS</v>
      </c>
    </row>
    <row r="78" spans="1:12" x14ac:dyDescent="0.35">
      <c r="A78" s="2" t="s">
        <v>164</v>
      </c>
      <c r="B78" t="s">
        <v>165</v>
      </c>
      <c r="C78" s="2" t="s">
        <v>10</v>
      </c>
      <c r="D78" s="2">
        <v>80</v>
      </c>
      <c r="E78" s="2">
        <v>90</v>
      </c>
      <c r="F78" s="2">
        <v>73</v>
      </c>
      <c r="G78" s="2">
        <v>57</v>
      </c>
      <c r="H78" s="2">
        <v>97</v>
      </c>
      <c r="I78" s="2">
        <f t="shared" si="8"/>
        <v>397</v>
      </c>
      <c r="J78" s="2">
        <f t="shared" si="9"/>
        <v>79.400000000000006</v>
      </c>
      <c r="K78" s="2">
        <f t="shared" si="10"/>
        <v>79.400000000000006</v>
      </c>
      <c r="L78" s="2" t="str">
        <f t="shared" si="11"/>
        <v xml:space="preserve"> PASS</v>
      </c>
    </row>
    <row r="79" spans="1:12" x14ac:dyDescent="0.35">
      <c r="A79" s="2" t="s">
        <v>166</v>
      </c>
      <c r="B79" t="s">
        <v>167</v>
      </c>
      <c r="C79" s="2" t="s">
        <v>10</v>
      </c>
      <c r="D79" s="2">
        <v>98</v>
      </c>
      <c r="E79" s="2">
        <v>94</v>
      </c>
      <c r="F79" s="2">
        <v>46</v>
      </c>
      <c r="G79" s="2">
        <v>54</v>
      </c>
      <c r="H79" s="2">
        <v>45</v>
      </c>
      <c r="I79" s="2">
        <f t="shared" si="8"/>
        <v>337</v>
      </c>
      <c r="J79" s="2">
        <f t="shared" si="9"/>
        <v>67.400000000000006</v>
      </c>
      <c r="K79" s="2">
        <f t="shared" si="10"/>
        <v>67.400000000000006</v>
      </c>
      <c r="L79" s="2" t="str">
        <f t="shared" si="11"/>
        <v xml:space="preserve"> PASS</v>
      </c>
    </row>
    <row r="80" spans="1:12" x14ac:dyDescent="0.35">
      <c r="A80" s="2" t="s">
        <v>168</v>
      </c>
      <c r="B80" t="s">
        <v>169</v>
      </c>
      <c r="C80" s="2" t="s">
        <v>10</v>
      </c>
      <c r="D80" s="2">
        <v>85</v>
      </c>
      <c r="E80" s="2">
        <v>73</v>
      </c>
      <c r="F80" s="2">
        <v>47</v>
      </c>
      <c r="G80" s="2">
        <v>55</v>
      </c>
      <c r="H80" s="2">
        <v>56</v>
      </c>
      <c r="I80" s="2">
        <f t="shared" si="8"/>
        <v>316</v>
      </c>
      <c r="J80" s="2">
        <f t="shared" si="9"/>
        <v>63.2</v>
      </c>
      <c r="K80" s="2">
        <f t="shared" si="10"/>
        <v>63.2</v>
      </c>
      <c r="L80" s="2" t="str">
        <f t="shared" si="11"/>
        <v xml:space="preserve"> PASS</v>
      </c>
    </row>
    <row r="81" spans="1:12" x14ac:dyDescent="0.35">
      <c r="A81" s="2" t="s">
        <v>170</v>
      </c>
      <c r="B81" t="s">
        <v>171</v>
      </c>
      <c r="C81" s="2" t="s">
        <v>13</v>
      </c>
      <c r="D81" s="2">
        <v>83</v>
      </c>
      <c r="E81" s="2">
        <v>59</v>
      </c>
      <c r="F81" s="2">
        <v>51</v>
      </c>
      <c r="G81" s="2">
        <v>81</v>
      </c>
      <c r="H81" s="2">
        <v>78</v>
      </c>
      <c r="I81" s="2">
        <f t="shared" si="8"/>
        <v>352</v>
      </c>
      <c r="J81" s="2">
        <f t="shared" si="9"/>
        <v>70.400000000000006</v>
      </c>
      <c r="K81" s="2">
        <f t="shared" si="10"/>
        <v>70.400000000000006</v>
      </c>
      <c r="L81" s="2" t="str">
        <f t="shared" si="11"/>
        <v xml:space="preserve"> PASS</v>
      </c>
    </row>
    <row r="82" spans="1:12" x14ac:dyDescent="0.35">
      <c r="A82" s="2" t="s">
        <v>172</v>
      </c>
      <c r="B82" t="s">
        <v>173</v>
      </c>
      <c r="C82" s="2" t="s">
        <v>26</v>
      </c>
      <c r="D82" s="2">
        <v>70</v>
      </c>
      <c r="E82" s="2">
        <v>69</v>
      </c>
      <c r="F82" s="2">
        <v>54</v>
      </c>
      <c r="G82" s="2">
        <v>95</v>
      </c>
      <c r="H82" s="2">
        <v>96</v>
      </c>
      <c r="I82" s="2">
        <f t="shared" si="8"/>
        <v>384</v>
      </c>
      <c r="J82" s="2">
        <f t="shared" si="9"/>
        <v>76.8</v>
      </c>
      <c r="K82" s="2">
        <f t="shared" si="10"/>
        <v>76.8</v>
      </c>
      <c r="L82" s="2" t="str">
        <f t="shared" si="11"/>
        <v xml:space="preserve"> PASS</v>
      </c>
    </row>
    <row r="83" spans="1:12" x14ac:dyDescent="0.35">
      <c r="A83" s="2" t="s">
        <v>174</v>
      </c>
      <c r="B83" t="s">
        <v>175</v>
      </c>
      <c r="C83" s="2" t="s">
        <v>10</v>
      </c>
      <c r="D83" s="2">
        <v>43</v>
      </c>
      <c r="E83" s="2">
        <v>78</v>
      </c>
      <c r="F83" s="2">
        <v>65</v>
      </c>
      <c r="G83" s="2">
        <v>91</v>
      </c>
      <c r="H83" s="2">
        <v>55</v>
      </c>
      <c r="I83" s="2">
        <f t="shared" si="8"/>
        <v>332</v>
      </c>
      <c r="J83" s="2">
        <f t="shared" si="9"/>
        <v>66.400000000000006</v>
      </c>
      <c r="K83" s="2">
        <f t="shared" si="10"/>
        <v>66.400000000000006</v>
      </c>
      <c r="L83" s="2" t="str">
        <f t="shared" si="11"/>
        <v xml:space="preserve"> PASS</v>
      </c>
    </row>
    <row r="84" spans="1:12" x14ac:dyDescent="0.35">
      <c r="A84" s="2" t="s">
        <v>176</v>
      </c>
      <c r="B84" t="s">
        <v>177</v>
      </c>
      <c r="C84" s="2" t="s">
        <v>10</v>
      </c>
      <c r="D84" s="2">
        <v>38</v>
      </c>
      <c r="E84" s="2">
        <v>59</v>
      </c>
      <c r="F84" s="2">
        <v>87</v>
      </c>
      <c r="G84" s="2">
        <v>46</v>
      </c>
      <c r="H84" s="2">
        <v>78</v>
      </c>
      <c r="I84" s="2">
        <f t="shared" si="8"/>
        <v>308</v>
      </c>
      <c r="J84" s="2">
        <f t="shared" si="9"/>
        <v>61.6</v>
      </c>
      <c r="K84" s="2">
        <f t="shared" si="10"/>
        <v>61.6</v>
      </c>
      <c r="L84" s="2" t="str">
        <f t="shared" si="11"/>
        <v>FAIL</v>
      </c>
    </row>
    <row r="85" spans="1:12" x14ac:dyDescent="0.35">
      <c r="A85" s="2" t="s">
        <v>178</v>
      </c>
      <c r="B85" t="s">
        <v>179</v>
      </c>
      <c r="C85" s="2" t="s">
        <v>26</v>
      </c>
      <c r="D85" s="2">
        <v>48</v>
      </c>
      <c r="E85" s="2">
        <v>85</v>
      </c>
      <c r="F85" s="2">
        <v>66</v>
      </c>
      <c r="G85" s="2">
        <v>73</v>
      </c>
      <c r="H85" s="2">
        <v>83</v>
      </c>
      <c r="I85" s="2">
        <f t="shared" si="8"/>
        <v>355</v>
      </c>
      <c r="J85" s="2">
        <f t="shared" si="9"/>
        <v>71</v>
      </c>
      <c r="K85" s="2">
        <f t="shared" si="10"/>
        <v>71</v>
      </c>
      <c r="L85" s="2" t="str">
        <f t="shared" si="11"/>
        <v xml:space="preserve"> PASS</v>
      </c>
    </row>
    <row r="86" spans="1:12" x14ac:dyDescent="0.35">
      <c r="A86" s="2" t="s">
        <v>180</v>
      </c>
      <c r="B86" t="s">
        <v>181</v>
      </c>
      <c r="C86" s="2" t="s">
        <v>33</v>
      </c>
      <c r="D86" s="2">
        <v>73</v>
      </c>
      <c r="E86" s="2">
        <v>38</v>
      </c>
      <c r="F86" s="2">
        <v>45</v>
      </c>
      <c r="G86" s="2">
        <v>42</v>
      </c>
      <c r="H86" s="2">
        <v>98</v>
      </c>
      <c r="I86" s="2">
        <f t="shared" si="8"/>
        <v>296</v>
      </c>
      <c r="J86" s="2">
        <f t="shared" si="9"/>
        <v>59.2</v>
      </c>
      <c r="K86" s="2">
        <f t="shared" si="10"/>
        <v>59.2</v>
      </c>
      <c r="L86" s="2" t="str">
        <f t="shared" si="11"/>
        <v>FAIL</v>
      </c>
    </row>
    <row r="87" spans="1:12" x14ac:dyDescent="0.35">
      <c r="A87" s="2" t="s">
        <v>182</v>
      </c>
      <c r="B87" t="s">
        <v>183</v>
      </c>
      <c r="C87" s="2" t="s">
        <v>13</v>
      </c>
      <c r="D87" s="2">
        <v>72</v>
      </c>
      <c r="E87" s="2">
        <v>40</v>
      </c>
      <c r="F87" s="2">
        <v>91</v>
      </c>
      <c r="G87" s="2">
        <v>61</v>
      </c>
      <c r="H87" s="2">
        <v>75</v>
      </c>
      <c r="I87" s="2">
        <f t="shared" si="8"/>
        <v>339</v>
      </c>
      <c r="J87" s="2">
        <f t="shared" si="9"/>
        <v>67.8</v>
      </c>
      <c r="K87" s="2">
        <f t="shared" si="10"/>
        <v>67.8</v>
      </c>
      <c r="L87" s="2" t="str">
        <f t="shared" si="11"/>
        <v xml:space="preserve"> PASS</v>
      </c>
    </row>
    <row r="88" spans="1:12" x14ac:dyDescent="0.35">
      <c r="A88" s="2" t="s">
        <v>184</v>
      </c>
      <c r="B88" t="s">
        <v>185</v>
      </c>
      <c r="C88" s="2" t="s">
        <v>13</v>
      </c>
      <c r="D88" s="2">
        <v>65</v>
      </c>
      <c r="E88" s="2">
        <v>46</v>
      </c>
      <c r="F88" s="2">
        <v>40</v>
      </c>
      <c r="G88" s="2">
        <v>57</v>
      </c>
      <c r="H88" s="2">
        <v>61</v>
      </c>
      <c r="I88" s="2">
        <f t="shared" si="8"/>
        <v>269</v>
      </c>
      <c r="J88" s="2">
        <f t="shared" si="9"/>
        <v>53.8</v>
      </c>
      <c r="K88" s="2">
        <f t="shared" si="10"/>
        <v>53.8</v>
      </c>
      <c r="L88" s="2" t="str">
        <f t="shared" si="11"/>
        <v xml:space="preserve"> PASS</v>
      </c>
    </row>
    <row r="89" spans="1:12" x14ac:dyDescent="0.35">
      <c r="A89" s="2" t="s">
        <v>186</v>
      </c>
      <c r="B89" t="s">
        <v>187</v>
      </c>
      <c r="C89" s="2" t="s">
        <v>10</v>
      </c>
      <c r="D89" s="2">
        <v>95</v>
      </c>
      <c r="E89" s="2">
        <v>60</v>
      </c>
      <c r="F89" s="2">
        <v>51</v>
      </c>
      <c r="G89" s="2">
        <v>81</v>
      </c>
      <c r="H89" s="2">
        <v>53</v>
      </c>
      <c r="I89" s="2">
        <f t="shared" si="8"/>
        <v>340</v>
      </c>
      <c r="J89" s="2">
        <f t="shared" si="9"/>
        <v>68</v>
      </c>
      <c r="K89" s="2">
        <f t="shared" si="10"/>
        <v>68</v>
      </c>
      <c r="L89" s="2" t="str">
        <f t="shared" si="11"/>
        <v xml:space="preserve"> PASS</v>
      </c>
    </row>
    <row r="90" spans="1:12" x14ac:dyDescent="0.35">
      <c r="A90" s="2" t="s">
        <v>188</v>
      </c>
      <c r="B90" t="s">
        <v>189</v>
      </c>
      <c r="C90" s="2" t="s">
        <v>10</v>
      </c>
      <c r="D90" s="2">
        <v>60</v>
      </c>
      <c r="E90" s="2">
        <v>87</v>
      </c>
      <c r="F90" s="2">
        <v>73</v>
      </c>
      <c r="G90" s="2">
        <v>94</v>
      </c>
      <c r="H90" s="2">
        <v>93</v>
      </c>
      <c r="I90" s="2">
        <f t="shared" si="8"/>
        <v>407</v>
      </c>
      <c r="J90" s="2">
        <f t="shared" si="9"/>
        <v>81.400000000000006</v>
      </c>
      <c r="K90" s="2">
        <f t="shared" si="10"/>
        <v>81.400000000000006</v>
      </c>
      <c r="L90" s="2" t="str">
        <f t="shared" si="11"/>
        <v xml:space="preserve"> PASS</v>
      </c>
    </row>
    <row r="91" spans="1:12" x14ac:dyDescent="0.35">
      <c r="A91" s="2" t="s">
        <v>190</v>
      </c>
      <c r="B91" t="s">
        <v>191</v>
      </c>
      <c r="C91" s="2" t="s">
        <v>33</v>
      </c>
      <c r="D91" s="2">
        <v>77</v>
      </c>
      <c r="E91" s="2">
        <v>85</v>
      </c>
      <c r="F91" s="2">
        <v>47</v>
      </c>
      <c r="G91" s="2">
        <v>97</v>
      </c>
      <c r="H91" s="2">
        <v>97</v>
      </c>
      <c r="I91" s="2">
        <f t="shared" si="8"/>
        <v>403</v>
      </c>
      <c r="J91" s="2">
        <f t="shared" si="9"/>
        <v>80.599999999999994</v>
      </c>
      <c r="K91" s="2">
        <f t="shared" si="10"/>
        <v>80.599999999999994</v>
      </c>
      <c r="L91" s="2" t="str">
        <f t="shared" si="11"/>
        <v xml:space="preserve"> PASS</v>
      </c>
    </row>
    <row r="92" spans="1:12" x14ac:dyDescent="0.35">
      <c r="A92" s="2" t="s">
        <v>192</v>
      </c>
      <c r="B92" t="s">
        <v>193</v>
      </c>
      <c r="C92" s="2" t="s">
        <v>13</v>
      </c>
      <c r="D92" s="2">
        <v>93</v>
      </c>
      <c r="E92" s="2">
        <v>48</v>
      </c>
      <c r="F92" s="2">
        <v>89</v>
      </c>
      <c r="G92" s="2">
        <v>89</v>
      </c>
      <c r="H92" s="2">
        <v>49</v>
      </c>
      <c r="I92" s="2">
        <f t="shared" si="8"/>
        <v>368</v>
      </c>
      <c r="J92" s="2">
        <f t="shared" si="9"/>
        <v>73.599999999999994</v>
      </c>
      <c r="K92" s="2">
        <f t="shared" si="10"/>
        <v>73.599999999999994</v>
      </c>
      <c r="L92" s="2" t="str">
        <f t="shared" si="11"/>
        <v xml:space="preserve"> PASS</v>
      </c>
    </row>
    <row r="93" spans="1:12" x14ac:dyDescent="0.35">
      <c r="A93" s="2" t="s">
        <v>194</v>
      </c>
      <c r="B93" t="s">
        <v>195</v>
      </c>
      <c r="C93" s="2" t="s">
        <v>33</v>
      </c>
      <c r="D93" s="2">
        <v>39</v>
      </c>
      <c r="E93" s="2">
        <v>49</v>
      </c>
      <c r="F93" s="2">
        <v>85</v>
      </c>
      <c r="G93" s="2">
        <v>97</v>
      </c>
      <c r="H93" s="2">
        <v>59</v>
      </c>
      <c r="I93" s="2">
        <f t="shared" si="8"/>
        <v>329</v>
      </c>
      <c r="J93" s="2">
        <f t="shared" si="9"/>
        <v>65.8</v>
      </c>
      <c r="K93" s="2">
        <f t="shared" si="10"/>
        <v>65.8</v>
      </c>
      <c r="L93" s="2" t="str">
        <f t="shared" si="11"/>
        <v>FAIL</v>
      </c>
    </row>
    <row r="94" spans="1:12" x14ac:dyDescent="0.35">
      <c r="A94" s="2" t="s">
        <v>196</v>
      </c>
      <c r="B94" t="s">
        <v>197</v>
      </c>
      <c r="C94" s="2" t="s">
        <v>33</v>
      </c>
      <c r="D94" s="2">
        <v>89</v>
      </c>
      <c r="E94" s="2">
        <v>80</v>
      </c>
      <c r="F94" s="2">
        <v>93</v>
      </c>
      <c r="G94" s="2">
        <v>85</v>
      </c>
      <c r="H94" s="2">
        <v>89</v>
      </c>
      <c r="I94" s="2">
        <f t="shared" si="8"/>
        <v>436</v>
      </c>
      <c r="J94" s="2">
        <f t="shared" si="9"/>
        <v>87.2</v>
      </c>
      <c r="K94" s="2">
        <f t="shared" si="10"/>
        <v>87.2</v>
      </c>
      <c r="L94" s="2" t="str">
        <f t="shared" si="11"/>
        <v xml:space="preserve"> PASS</v>
      </c>
    </row>
    <row r="95" spans="1:12" x14ac:dyDescent="0.35">
      <c r="A95" s="2" t="s">
        <v>198</v>
      </c>
      <c r="B95" t="s">
        <v>199</v>
      </c>
      <c r="C95" s="2" t="s">
        <v>13</v>
      </c>
      <c r="D95" s="2">
        <v>55</v>
      </c>
      <c r="E95" s="2">
        <v>48</v>
      </c>
      <c r="F95" s="2">
        <v>88</v>
      </c>
      <c r="G95" s="2">
        <v>82</v>
      </c>
      <c r="H95" s="2">
        <v>44</v>
      </c>
      <c r="I95" s="2">
        <f t="shared" si="8"/>
        <v>317</v>
      </c>
      <c r="J95" s="2">
        <f t="shared" si="9"/>
        <v>63.4</v>
      </c>
      <c r="K95" s="2">
        <f t="shared" si="10"/>
        <v>63.4</v>
      </c>
      <c r="L95" s="2" t="str">
        <f t="shared" si="11"/>
        <v xml:space="preserve"> PASS</v>
      </c>
    </row>
    <row r="96" spans="1:12" x14ac:dyDescent="0.35">
      <c r="A96" s="2" t="s">
        <v>200</v>
      </c>
      <c r="B96" t="s">
        <v>201</v>
      </c>
      <c r="C96" s="2" t="s">
        <v>33</v>
      </c>
      <c r="D96" s="2">
        <v>93</v>
      </c>
      <c r="E96" s="2">
        <v>40</v>
      </c>
      <c r="F96" s="2">
        <v>92</v>
      </c>
      <c r="G96" s="2">
        <v>68</v>
      </c>
      <c r="H96" s="2">
        <v>52</v>
      </c>
      <c r="I96" s="2">
        <f t="shared" si="8"/>
        <v>345</v>
      </c>
      <c r="J96" s="2">
        <f t="shared" si="9"/>
        <v>69</v>
      </c>
      <c r="K96" s="2">
        <f t="shared" si="10"/>
        <v>69</v>
      </c>
      <c r="L96" s="2" t="str">
        <f t="shared" si="11"/>
        <v xml:space="preserve"> PASS</v>
      </c>
    </row>
    <row r="97" spans="1:12" x14ac:dyDescent="0.35">
      <c r="A97" s="2" t="s">
        <v>202</v>
      </c>
      <c r="B97" t="s">
        <v>203</v>
      </c>
      <c r="C97" s="2" t="s">
        <v>13</v>
      </c>
      <c r="D97" s="2">
        <v>90</v>
      </c>
      <c r="E97" s="2">
        <v>96</v>
      </c>
      <c r="F97" s="2">
        <v>67</v>
      </c>
      <c r="G97" s="2">
        <v>60</v>
      </c>
      <c r="H97" s="2">
        <v>57</v>
      </c>
      <c r="I97" s="2">
        <f t="shared" si="8"/>
        <v>370</v>
      </c>
      <c r="J97" s="2">
        <f t="shared" si="9"/>
        <v>74</v>
      </c>
      <c r="K97" s="2">
        <f t="shared" si="10"/>
        <v>74</v>
      </c>
      <c r="L97" s="2" t="str">
        <f t="shared" si="11"/>
        <v xml:space="preserve"> PASS</v>
      </c>
    </row>
    <row r="98" spans="1:12" x14ac:dyDescent="0.35">
      <c r="A98" s="2" t="s">
        <v>204</v>
      </c>
      <c r="B98" t="s">
        <v>205</v>
      </c>
      <c r="C98" s="2" t="s">
        <v>13</v>
      </c>
      <c r="D98" s="2">
        <v>52</v>
      </c>
      <c r="E98" s="2">
        <v>39</v>
      </c>
      <c r="F98" s="2">
        <v>80</v>
      </c>
      <c r="G98" s="2">
        <v>50</v>
      </c>
      <c r="H98" s="2">
        <v>63</v>
      </c>
      <c r="I98" s="2">
        <f t="shared" ref="I98:I129" si="12">SUM(D98:H98)</f>
        <v>284</v>
      </c>
      <c r="J98" s="2">
        <f t="shared" si="9"/>
        <v>56.8</v>
      </c>
      <c r="K98" s="2">
        <f t="shared" si="10"/>
        <v>56.8</v>
      </c>
      <c r="L98" s="2" t="str">
        <f t="shared" si="11"/>
        <v>FAIL</v>
      </c>
    </row>
    <row r="99" spans="1:12" x14ac:dyDescent="0.35">
      <c r="A99" s="2" t="s">
        <v>206</v>
      </c>
      <c r="B99" t="s">
        <v>207</v>
      </c>
      <c r="C99" s="2" t="s">
        <v>26</v>
      </c>
      <c r="D99" s="2">
        <v>55</v>
      </c>
      <c r="E99" s="2">
        <v>93</v>
      </c>
      <c r="F99" s="2">
        <v>42</v>
      </c>
      <c r="G99" s="2">
        <v>99</v>
      </c>
      <c r="H99" s="2">
        <v>87</v>
      </c>
      <c r="I99" s="2">
        <f t="shared" si="12"/>
        <v>376</v>
      </c>
      <c r="J99" s="2">
        <f t="shared" si="9"/>
        <v>75.2</v>
      </c>
      <c r="K99" s="2">
        <f t="shared" si="10"/>
        <v>75.2</v>
      </c>
      <c r="L99" s="2" t="str">
        <f t="shared" si="11"/>
        <v xml:space="preserve"> PASS</v>
      </c>
    </row>
    <row r="100" spans="1:12" x14ac:dyDescent="0.35">
      <c r="A100" s="2" t="s">
        <v>208</v>
      </c>
      <c r="B100" t="s">
        <v>209</v>
      </c>
      <c r="C100" s="2" t="s">
        <v>26</v>
      </c>
      <c r="D100" s="2">
        <v>60</v>
      </c>
      <c r="E100" s="2">
        <v>79</v>
      </c>
      <c r="F100" s="2">
        <v>70</v>
      </c>
      <c r="G100" s="2">
        <v>63</v>
      </c>
      <c r="H100" s="2">
        <v>81</v>
      </c>
      <c r="I100" s="2">
        <f t="shared" si="12"/>
        <v>353</v>
      </c>
      <c r="J100" s="2">
        <f t="shared" si="9"/>
        <v>70.599999999999994</v>
      </c>
      <c r="K100" s="2">
        <f t="shared" si="10"/>
        <v>70.599999999999994</v>
      </c>
      <c r="L100" s="2" t="str">
        <f t="shared" si="11"/>
        <v xml:space="preserve"> PASS</v>
      </c>
    </row>
    <row r="101" spans="1:12" x14ac:dyDescent="0.35">
      <c r="A101" s="2" t="s">
        <v>210</v>
      </c>
      <c r="B101" t="s">
        <v>211</v>
      </c>
      <c r="C101" s="2" t="s">
        <v>26</v>
      </c>
      <c r="D101" s="2">
        <v>98</v>
      </c>
      <c r="E101" s="2">
        <v>39</v>
      </c>
      <c r="F101" s="2">
        <v>45</v>
      </c>
      <c r="G101" s="2">
        <v>94</v>
      </c>
      <c r="H101" s="2">
        <v>54</v>
      </c>
      <c r="I101" s="2">
        <f t="shared" si="12"/>
        <v>330</v>
      </c>
      <c r="J101" s="2">
        <f t="shared" si="9"/>
        <v>66</v>
      </c>
      <c r="K101" s="2">
        <f t="shared" si="10"/>
        <v>66</v>
      </c>
      <c r="L101" s="2" t="str">
        <f t="shared" si="11"/>
        <v>FAIL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7A248-1106-4995-9E9B-CED6887DA28D}">
  <sheetPr>
    <pageSetUpPr fitToPage="1"/>
  </sheetPr>
  <dimension ref="B8:M27"/>
  <sheetViews>
    <sheetView showGridLines="0" topLeftCell="A7" zoomScale="84" workbookViewId="0">
      <selection activeCell="E10" sqref="E10"/>
    </sheetView>
  </sheetViews>
  <sheetFormatPr defaultColWidth="18.1796875" defaultRowHeight="14.5" x14ac:dyDescent="0.35"/>
  <cols>
    <col min="5" max="5" width="4.08984375" customWidth="1"/>
    <col min="10" max="10" width="5.08984375" customWidth="1"/>
  </cols>
  <sheetData>
    <row r="8" spans="3:13" ht="26" x14ac:dyDescent="0.6">
      <c r="D8" s="9" t="s">
        <v>236</v>
      </c>
      <c r="E8" s="10"/>
      <c r="F8" s="10"/>
      <c r="G8" s="10"/>
      <c r="H8" s="10"/>
      <c r="I8" s="10"/>
      <c r="J8" s="10"/>
      <c r="K8" s="10"/>
    </row>
    <row r="11" spans="3:13" x14ac:dyDescent="0.35">
      <c r="D11" s="2"/>
      <c r="E11" s="2"/>
      <c r="H11" s="2"/>
      <c r="I11" s="2"/>
    </row>
    <row r="12" spans="3:13" ht="18.5" x14ac:dyDescent="0.45">
      <c r="C12" s="8" t="s">
        <v>222</v>
      </c>
      <c r="D12" s="11"/>
      <c r="E12" s="2"/>
      <c r="F12" s="8" t="s">
        <v>229</v>
      </c>
      <c r="G12" s="8"/>
      <c r="H12" s="8"/>
      <c r="I12" s="8"/>
      <c r="K12" s="8" t="s">
        <v>234</v>
      </c>
      <c r="L12" s="8"/>
      <c r="M12" s="8"/>
    </row>
    <row r="13" spans="3:13" x14ac:dyDescent="0.35">
      <c r="C13" s="4" t="s">
        <v>216</v>
      </c>
      <c r="D13" s="4">
        <f>COUNTA('Student Marks Data'!A2:A101)</f>
        <v>100</v>
      </c>
      <c r="E13" s="2"/>
      <c r="F13" s="5" t="s">
        <v>226</v>
      </c>
      <c r="G13" s="5" t="s">
        <v>227</v>
      </c>
      <c r="H13" s="5" t="s">
        <v>228</v>
      </c>
      <c r="I13" s="5" t="s">
        <v>215</v>
      </c>
      <c r="K13" s="7" t="s">
        <v>214</v>
      </c>
      <c r="L13" s="7" t="s">
        <v>231</v>
      </c>
      <c r="M13" s="7" t="s">
        <v>215</v>
      </c>
    </row>
    <row r="14" spans="3:13" x14ac:dyDescent="0.35">
      <c r="C14" s="4" t="s">
        <v>217</v>
      </c>
      <c r="D14" s="4">
        <f>AVERAGE('Student Marks Data'!I2:I101)</f>
        <v>341.35</v>
      </c>
      <c r="E14" s="2"/>
      <c r="F14" s="6">
        <v>1</v>
      </c>
      <c r="G14" s="4" t="s">
        <v>197</v>
      </c>
      <c r="H14" s="4">
        <f>INDEX('Student Marks Data'!I2:I101,MATCH(G14,'Student Marks Data'!B2:B101,0))</f>
        <v>436</v>
      </c>
      <c r="I14" s="4">
        <f>INDEX('Student Marks Data'!K2:K101,MATCH(Analysis!G14,'Student Marks Data'!B2:B101,0))</f>
        <v>87.2</v>
      </c>
      <c r="K14" s="4" t="s">
        <v>232</v>
      </c>
      <c r="L14" s="4">
        <f>COUNTIF('Student Marks Data'!L2:L101,"*PASS*")</f>
        <v>86</v>
      </c>
      <c r="M14" s="4">
        <f>L14/SUM($L$14,$L$15)*100</f>
        <v>86</v>
      </c>
    </row>
    <row r="15" spans="3:13" x14ac:dyDescent="0.35">
      <c r="C15" s="4" t="s">
        <v>218</v>
      </c>
      <c r="D15" s="4">
        <f>MAX('Student Marks Data'!I1:I101)</f>
        <v>436</v>
      </c>
      <c r="E15" s="2"/>
      <c r="F15" s="6">
        <v>2</v>
      </c>
      <c r="G15" s="4" t="s">
        <v>35</v>
      </c>
      <c r="H15" s="4">
        <f>INDEX('Student Marks Data'!I2:I101,MATCH(G15,'Student Marks Data'!B2:B101,0))</f>
        <v>433</v>
      </c>
      <c r="I15" s="4">
        <f>INDEX('Student Marks Data'!K3:K102,MATCH(Analysis!G15,'Student Marks Data'!B3:B102,0))</f>
        <v>86.6</v>
      </c>
      <c r="K15" s="4" t="s">
        <v>233</v>
      </c>
      <c r="L15" s="4">
        <f>COUNTIF('Student Marks Data'!L2:L101,"FAIL")</f>
        <v>14</v>
      </c>
      <c r="M15" s="4">
        <f>L14/SUM($L$14,$L$15)*100</f>
        <v>86</v>
      </c>
    </row>
    <row r="16" spans="3:13" x14ac:dyDescent="0.35">
      <c r="C16" s="4" t="s">
        <v>221</v>
      </c>
      <c r="D16" s="4">
        <f>MIN('Student Marks Data'!I84:I101)</f>
        <v>269</v>
      </c>
      <c r="E16" s="2"/>
      <c r="F16" s="6">
        <v>3</v>
      </c>
      <c r="G16" s="4" t="s">
        <v>95</v>
      </c>
      <c r="H16" s="4">
        <f>INDEX('Student Marks Data'!I4:I103,MATCH(G16,'Student Marks Data'!B4:B103,0))</f>
        <v>421</v>
      </c>
      <c r="I16" s="4">
        <f>INDEX('Student Marks Data'!K4:K103,MATCH(Analysis!G16,'Student Marks Data'!B4:B103,0))</f>
        <v>84.2</v>
      </c>
    </row>
    <row r="17" spans="2:9" x14ac:dyDescent="0.35">
      <c r="C17" s="4" t="s">
        <v>219</v>
      </c>
      <c r="D17" s="4">
        <f>COUNTIF('Student Marks Data'!L2:L101,"*PASS*")</f>
        <v>86</v>
      </c>
      <c r="E17" s="2"/>
      <c r="F17" s="6">
        <v>4</v>
      </c>
      <c r="G17" s="4" t="s">
        <v>123</v>
      </c>
      <c r="H17" s="4">
        <f>INDEX('Student Marks Data'!I4:I103,MATCH(G17,'Student Marks Data'!B4:B103,0))</f>
        <v>413</v>
      </c>
      <c r="I17" s="4">
        <f>INDEX('Student Marks Data'!K5:K104,MATCH(Analysis!G17,'Student Marks Data'!B5:B104,0))</f>
        <v>82.6</v>
      </c>
    </row>
    <row r="18" spans="2:9" x14ac:dyDescent="0.35">
      <c r="C18" s="4" t="s">
        <v>220</v>
      </c>
      <c r="D18" s="4">
        <f>COUNTIF('Student Marks Data'!L2:L101,"FAIL")</f>
        <v>14</v>
      </c>
      <c r="E18" s="2"/>
      <c r="F18" s="6">
        <v>5</v>
      </c>
      <c r="G18" s="4" t="s">
        <v>189</v>
      </c>
      <c r="H18" s="4">
        <f>INDEX('Student Marks Data'!I6:I105,MATCH(G18,'Student Marks Data'!B6:B105,0))</f>
        <v>407</v>
      </c>
      <c r="I18" s="4">
        <f>INDEX('Student Marks Data'!K6:K105,MATCH(Analysis!G18,'Student Marks Data'!B6:B105,0))</f>
        <v>81.400000000000006</v>
      </c>
    </row>
    <row r="19" spans="2:9" x14ac:dyDescent="0.35">
      <c r="E19" s="2"/>
    </row>
    <row r="20" spans="2:9" ht="18.5" x14ac:dyDescent="0.45">
      <c r="B20" s="2"/>
      <c r="C20" s="8" t="s">
        <v>225</v>
      </c>
      <c r="D20" s="8"/>
      <c r="E20" s="2"/>
      <c r="F20" s="8" t="s">
        <v>230</v>
      </c>
      <c r="G20" s="8"/>
      <c r="H20" s="8"/>
      <c r="I20" s="8"/>
    </row>
    <row r="21" spans="2:9" x14ac:dyDescent="0.35">
      <c r="B21" s="2"/>
      <c r="C21" s="5" t="s">
        <v>223</v>
      </c>
      <c r="D21" s="5" t="s">
        <v>224</v>
      </c>
      <c r="E21" s="2"/>
      <c r="F21" s="5" t="s">
        <v>226</v>
      </c>
      <c r="G21" s="5" t="s">
        <v>227</v>
      </c>
      <c r="H21" s="5" t="s">
        <v>228</v>
      </c>
      <c r="I21" s="5" t="s">
        <v>215</v>
      </c>
    </row>
    <row r="22" spans="2:9" x14ac:dyDescent="0.35">
      <c r="B22" s="2"/>
      <c r="C22" s="6" t="s">
        <v>3</v>
      </c>
      <c r="D22" s="6">
        <f>AVERAGE('Student Marks Data'!D2:D101)</f>
        <v>66.89</v>
      </c>
      <c r="E22" s="2"/>
      <c r="F22" s="6">
        <v>1</v>
      </c>
      <c r="G22" s="4" t="s">
        <v>28</v>
      </c>
      <c r="H22" s="4">
        <f>INDEX('Student Marks Data'!I2:I101,MATCH(G22,'Student Marks Data'!B2:B101,0))</f>
        <v>253</v>
      </c>
      <c r="I22" s="4">
        <f>INDEX('Student Marks Data'!K2:K101,MATCH(G22,'Student Marks Data'!B2:B101,0))</f>
        <v>50.6</v>
      </c>
    </row>
    <row r="23" spans="2:9" x14ac:dyDescent="0.35">
      <c r="C23" s="6" t="s">
        <v>4</v>
      </c>
      <c r="D23" s="6">
        <f>AVERAGE('Student Marks Data'!E2:E101)</f>
        <v>67.52</v>
      </c>
      <c r="F23" s="6">
        <v>2</v>
      </c>
      <c r="G23" s="4" t="s">
        <v>15</v>
      </c>
      <c r="H23" s="4">
        <f>INDEX('Student Marks Data'!I3:I102,MATCH(G23,'Student Marks Data'!B3:B102,0))</f>
        <v>262</v>
      </c>
      <c r="I23" s="4">
        <f>INDEX('Student Marks Data'!K3:K102,MATCH(G23,'Student Marks Data'!B3:B102,0))</f>
        <v>52.4</v>
      </c>
    </row>
    <row r="24" spans="2:9" x14ac:dyDescent="0.35">
      <c r="C24" s="6" t="s">
        <v>5</v>
      </c>
      <c r="D24" s="6">
        <f>AVERAGE('Student Marks Data'!F2:F101)</f>
        <v>67.239999999999995</v>
      </c>
      <c r="F24" s="6">
        <v>3</v>
      </c>
      <c r="G24" s="4" t="s">
        <v>131</v>
      </c>
      <c r="H24" s="4">
        <f>INDEX('Student Marks Data'!I4:I103,MATCH(G24,'Student Marks Data'!B4:B103,0))</f>
        <v>264</v>
      </c>
      <c r="I24" s="4">
        <f>INDEX('Student Marks Data'!K4:K103,MATCH(G24,'Student Marks Data'!B4:B103,0))</f>
        <v>52.8</v>
      </c>
    </row>
    <row r="25" spans="2:9" x14ac:dyDescent="0.35">
      <c r="C25" s="6" t="s">
        <v>6</v>
      </c>
      <c r="D25" s="6">
        <f>AVERAGE('Student Marks Data'!G2:G101)</f>
        <v>70.599999999999994</v>
      </c>
      <c r="F25" s="6">
        <v>4</v>
      </c>
      <c r="G25" s="4" t="s">
        <v>101</v>
      </c>
      <c r="H25" s="4">
        <f>INDEX('Student Marks Data'!I5:I104,MATCH(G25,'Student Marks Data'!B5:B104,0))</f>
        <v>267</v>
      </c>
      <c r="I25" s="4">
        <f>INDEX('Student Marks Data'!K5:K104,MATCH(G25,'Student Marks Data'!B5:B104,0))</f>
        <v>53.4</v>
      </c>
    </row>
    <row r="26" spans="2:9" x14ac:dyDescent="0.35">
      <c r="C26" s="6" t="s">
        <v>7</v>
      </c>
      <c r="D26" s="6">
        <f>AVERAGE('Student Marks Data'!H2:H101)</f>
        <v>69.099999999999994</v>
      </c>
      <c r="F26" s="6">
        <v>5</v>
      </c>
      <c r="G26" s="4" t="s">
        <v>185</v>
      </c>
      <c r="H26" s="4">
        <f>INDEX('Student Marks Data'!I6:I105,MATCH(G26,'Student Marks Data'!B6:B105,0))</f>
        <v>269</v>
      </c>
      <c r="I26" s="4">
        <f>INDEX('Student Marks Data'!K6:K105,MATCH(G26,'Student Marks Data'!B6:B105,0))</f>
        <v>53.8</v>
      </c>
    </row>
    <row r="27" spans="2:9" x14ac:dyDescent="0.35">
      <c r="F27" s="2"/>
    </row>
  </sheetData>
  <mergeCells count="6">
    <mergeCell ref="K12:M12"/>
    <mergeCell ref="C20:D20"/>
    <mergeCell ref="F20:I20"/>
    <mergeCell ref="D8:K8"/>
    <mergeCell ref="C12:D12"/>
    <mergeCell ref="F12:I12"/>
  </mergeCells>
  <pageMargins left="0.7" right="0.7" top="0.75" bottom="0.75" header="0.3" footer="0.3"/>
  <pageSetup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55E1C-9759-4457-90E4-A8AA3F29A3FB}">
  <sheetPr>
    <pageSetUpPr fitToPage="1"/>
  </sheetPr>
  <dimension ref="F3:N3"/>
  <sheetViews>
    <sheetView showGridLines="0" tabSelected="1" zoomScale="87" zoomScaleNormal="100" workbookViewId="0">
      <selection activeCell="C13" sqref="C13"/>
    </sheetView>
  </sheetViews>
  <sheetFormatPr defaultRowHeight="14.5" x14ac:dyDescent="0.35"/>
  <sheetData>
    <row r="3" spans="6:14" ht="33.5" x14ac:dyDescent="0.75">
      <c r="F3" s="12" t="s">
        <v>235</v>
      </c>
      <c r="G3" s="13"/>
      <c r="H3" s="13"/>
      <c r="I3" s="13"/>
      <c r="J3" s="13"/>
      <c r="K3" s="13"/>
      <c r="L3" s="13"/>
      <c r="M3" s="13"/>
      <c r="N3" s="13"/>
    </row>
  </sheetData>
  <mergeCells count="1">
    <mergeCell ref="F3:N3"/>
  </mergeCells>
  <pageMargins left="0.7" right="0.7" top="0.75" bottom="0.75" header="0.3" footer="0.3"/>
  <pageSetup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Marks Data</vt:lpstr>
      <vt:lpstr>Analysis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vashu rajotia</cp:lastModifiedBy>
  <cp:lastPrinted>2026-08-20T17:15:39Z</cp:lastPrinted>
  <dcterms:created xsi:type="dcterms:W3CDTF">2026-08-20T01:36:03Z</dcterms:created>
  <dcterms:modified xsi:type="dcterms:W3CDTF">2026-08-20T17:15:48Z</dcterms:modified>
</cp:coreProperties>
</file>